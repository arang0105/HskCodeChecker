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사용법" sheetId="1" state="visible" r:id="rId3"/>
    <sheet name="케이스목록" sheetId="2" state="visible" r:id="rId4"/>
    <sheet name="측정기록" sheetId="3" state="visible" r:id="rId5"/>
    <sheet name="조건B_품명only" sheetId="4" state="visible" r:id="rId6"/>
    <sheet name="일관성" sheetId="5" state="visible" r:id="rId7"/>
    <sheet name="측정조건" sheetId="6" state="visible" r:id="rId8"/>
    <sheet name="결과요약"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<sst xmlns="http://schemas.openxmlformats.org/spreadsheetml/2006/main" count="819" uniqueCount="466">
  <si>
    <r>
      <rPr>
        <b val="true"/>
        <sz val="13"/>
        <color rgb="FF1F3864"/>
        <rFont val="Arial"/>
        <family val="2"/>
        <charset val="1"/>
      </rPr>
      <t xml:space="preserve">HS</t>
    </r>
    <r>
      <rPr>
        <b val="true"/>
        <sz val="13"/>
        <color rgb="FF1F3864"/>
        <rFont val="Noto Sans CJK SC"/>
        <family val="2"/>
      </rPr>
      <t xml:space="preserve">코드 분류 </t>
    </r>
    <r>
      <rPr>
        <b val="true"/>
        <sz val="13"/>
        <color rgb="FF1F3864"/>
        <rFont val="Arial"/>
        <family val="2"/>
        <charset val="1"/>
      </rPr>
      <t xml:space="preserve">baseline </t>
    </r>
    <r>
      <rPr>
        <b val="true"/>
        <sz val="13"/>
        <color rgb="FF1F3864"/>
        <rFont val="Noto Sans CJK SC"/>
        <family val="2"/>
      </rPr>
      <t xml:space="preserve">측정표 </t>
    </r>
    <r>
      <rPr>
        <b val="true"/>
        <sz val="13"/>
        <color rgb="FF1F3864"/>
        <rFont val="Arial"/>
        <family val="2"/>
        <charset val="1"/>
      </rPr>
      <t xml:space="preserve">v3</t>
    </r>
  </si>
  <si>
    <t xml:space="preserve">공통 항목은 [케이스목록] 한 곳에만 입력하면 측정기록·조건B 시트로 자동 연결됩니다.</t>
  </si>
  <si>
    <t xml:space="preserve">시트 구조</t>
  </si>
  <si>
    <t xml:space="preserve">케이스목록 — 결정례번호·품명·정답HSK·물품설명을 여기 한 번만 입력. 나머지 시트가 자동으로 끌어씁니다.</t>
  </si>
  <si>
    <t xml:space="preserve">측정기록 — 조건 A(상세 물품설명 입력). P1·P2 응답만 기록</t>
  </si>
  <si>
    <t xml:space="preserve">조건B_품명only — 조건 B(품명 원문 입력). P1 응답만 기록</t>
  </si>
  <si>
    <t xml:space="preserve">일관성 — 같은 질문 3회 반복</t>
  </si>
  <si>
    <t xml:space="preserve">결과요약 — 전부 자동 계산</t>
  </si>
  <si>
    <t xml:space="preserve">측정조건 — 모델·설정을 기록. 재현 가능성의 근거이므로 반드시 채우세요</t>
  </si>
  <si>
    <t xml:space="preserve">색 규칙</t>
  </si>
  <si>
    <t xml:space="preserve">노란색 = 직접 입력  /  연두색 = 케이스목록에서 자동 연결(수정 금지)  /  회색 = 자동 계산</t>
  </si>
  <si>
    <t xml:space="preserve">유효_A · 유효_B 열이 핵심입니다</t>
  </si>
  <si>
    <t xml:space="preserve">측정이 오염된 건은 케이스목록에서 유효를 X로 바꾸세요. 결과요약 집계에서 자동 제외됩니다.</t>
  </si>
  <si>
    <r>
      <rPr>
        <sz val="10"/>
        <rFont val="Arial"/>
        <family val="2"/>
        <charset val="1"/>
      </rPr>
      <t xml:space="preserve">X</t>
    </r>
    <r>
      <rPr>
        <sz val="10"/>
        <rFont val="Noto Sans CJK SC"/>
        <family val="2"/>
      </rPr>
      <t xml:space="preserve">로 두는 경우</t>
    </r>
    <r>
      <rPr>
        <sz val="10"/>
        <rFont val="Arial"/>
        <family val="2"/>
        <charset val="1"/>
      </rPr>
      <t xml:space="preserve">: </t>
    </r>
    <r>
      <rPr>
        <sz val="10"/>
        <rFont val="Noto Sans CJK SC"/>
        <family val="2"/>
      </rPr>
      <t xml:space="preserve">검색이 켜진 상태에서 측정 </t>
    </r>
    <r>
      <rPr>
        <sz val="10"/>
        <rFont val="Arial"/>
        <family val="2"/>
        <charset val="1"/>
      </rPr>
      <t xml:space="preserve">/ </t>
    </r>
    <r>
      <rPr>
        <sz val="10"/>
        <rFont val="Noto Sans CJK SC"/>
        <family val="2"/>
      </rPr>
      <t xml:space="preserve">입력에 정답이 누출됨 </t>
    </r>
    <r>
      <rPr>
        <sz val="10"/>
        <rFont val="Arial"/>
        <family val="2"/>
        <charset val="1"/>
      </rPr>
      <t xml:space="preserve">/ </t>
    </r>
    <r>
      <rPr>
        <sz val="10"/>
        <rFont val="Noto Sans CJK SC"/>
        <family val="2"/>
      </rPr>
      <t xml:space="preserve">프롬프트를 변형함</t>
    </r>
  </si>
  <si>
    <t xml:space="preserve">행을 지우지 말고 X 처리하세요. 왜 제외했는지가 남아야 방어할 수 있습니다.</t>
  </si>
  <si>
    <t xml:space="preserve">품명유형 열</t>
  </si>
  <si>
    <t xml:space="preserve">품명명확 = 품명만으로 용도·기능을 알 수 있음 (예: 친환경 액상 제설제)</t>
  </si>
  <si>
    <t xml:space="preserve">품번only = 품번·약어·거래명뿐이라 판단 불가 (예: JOURNAL KIT BEAR`G; SFJ10170200)</t>
  </si>
  <si>
    <t xml:space="preserve">실무 병목은 품번only 유형에 몰립니다. 결과요약에서 유형별로 나눠 봅니다.</t>
  </si>
  <si>
    <t xml:space="preserve">측정 규칙</t>
  </si>
  <si>
    <r>
      <rPr>
        <sz val="10"/>
        <rFont val="Arial"/>
        <family val="2"/>
        <charset val="1"/>
      </rPr>
      <t xml:space="preserve">1. </t>
    </r>
    <r>
      <rPr>
        <sz val="10"/>
        <rFont val="Noto Sans CJK SC"/>
        <family val="2"/>
      </rPr>
      <t xml:space="preserve">건마다 새 채팅</t>
    </r>
    <r>
      <rPr>
        <sz val="10"/>
        <rFont val="Arial"/>
        <family val="2"/>
        <charset val="1"/>
      </rPr>
      <t xml:space="preserve">(+ </t>
    </r>
    <r>
      <rPr>
        <sz val="10"/>
        <rFont val="Noto Sans CJK SC"/>
        <family val="2"/>
      </rPr>
      <t xml:space="preserve">버튼</t>
    </r>
    <r>
      <rPr>
        <sz val="10"/>
        <rFont val="Arial"/>
        <family val="2"/>
        <charset val="1"/>
      </rPr>
      <t xml:space="preserve">). Playground</t>
    </r>
    <r>
      <rPr>
        <sz val="10"/>
        <rFont val="Noto Sans CJK SC"/>
        <family val="2"/>
      </rPr>
      <t xml:space="preserve">는 대화가 쌓입니다</t>
    </r>
    <r>
      <rPr>
        <sz val="10"/>
        <rFont val="Arial"/>
        <family val="2"/>
        <charset val="1"/>
      </rPr>
      <t xml:space="preserve">.</t>
    </r>
  </si>
  <si>
    <r>
      <rPr>
        <sz val="10"/>
        <rFont val="Arial"/>
        <family val="2"/>
        <charset val="1"/>
      </rPr>
      <t xml:space="preserve">2. </t>
    </r>
    <r>
      <rPr>
        <sz val="10"/>
        <rFont val="Noto Sans CJK SC"/>
        <family val="2"/>
      </rPr>
      <t xml:space="preserve">첫 응답만 기록</t>
    </r>
    <r>
      <rPr>
        <sz val="10"/>
        <rFont val="Arial"/>
        <family val="2"/>
        <charset val="1"/>
      </rPr>
      <t xml:space="preserve">. </t>
    </r>
    <r>
      <rPr>
        <sz val="10"/>
        <rFont val="Noto Sans CJK SC"/>
        <family val="2"/>
      </rPr>
      <t xml:space="preserve">되묻거나 조건을 추가하지 않습니다</t>
    </r>
    <r>
      <rPr>
        <sz val="10"/>
        <rFont val="Arial"/>
        <family val="2"/>
        <charset val="1"/>
      </rPr>
      <t xml:space="preserve">.</t>
    </r>
  </si>
  <si>
    <r>
      <rPr>
        <sz val="10"/>
        <rFont val="Arial"/>
        <family val="2"/>
        <charset val="1"/>
      </rPr>
      <t xml:space="preserve">3. </t>
    </r>
    <r>
      <rPr>
        <sz val="10"/>
        <rFont val="Noto Sans CJK SC"/>
        <family val="2"/>
      </rPr>
      <t xml:space="preserve">프롬프트를 개선하지 않습니다</t>
    </r>
    <r>
      <rPr>
        <sz val="10"/>
        <rFont val="Arial"/>
        <family val="2"/>
        <charset val="1"/>
      </rPr>
      <t xml:space="preserve">. </t>
    </r>
    <r>
      <rPr>
        <sz val="10"/>
        <rFont val="Noto Sans CJK SC"/>
        <family val="2"/>
      </rPr>
      <t xml:space="preserve">잘 나오게 만들 수단은 전부 나중을 위해 남겨둡니다</t>
    </r>
    <r>
      <rPr>
        <sz val="10"/>
        <rFont val="Arial"/>
        <family val="2"/>
        <charset val="1"/>
      </rPr>
      <t xml:space="preserve">.</t>
    </r>
  </si>
  <si>
    <r>
      <rPr>
        <sz val="10"/>
        <rFont val="Arial"/>
        <family val="2"/>
        <charset val="1"/>
      </rPr>
      <t xml:space="preserve">4. Grounding OFF, </t>
    </r>
    <r>
      <rPr>
        <sz val="10"/>
        <rFont val="Noto Sans CJK SC"/>
        <family val="2"/>
      </rPr>
      <t xml:space="preserve">이미지 미첨부</t>
    </r>
    <r>
      <rPr>
        <sz val="10"/>
        <rFont val="Arial"/>
        <family val="2"/>
        <charset val="1"/>
      </rPr>
      <t xml:space="preserve">, Temperature·Thinking</t>
    </r>
    <r>
      <rPr>
        <sz val="10"/>
        <rFont val="Noto Sans CJK SC"/>
        <family val="2"/>
      </rPr>
      <t xml:space="preserve">은 기본값 유지</t>
    </r>
    <r>
      <rPr>
        <sz val="10"/>
        <rFont val="Arial"/>
        <family val="2"/>
        <charset val="1"/>
      </rPr>
      <t xml:space="preserve">.</t>
    </r>
  </si>
  <si>
    <r>
      <rPr>
        <sz val="10"/>
        <rFont val="Arial"/>
        <family val="2"/>
        <charset val="1"/>
      </rPr>
      <t xml:space="preserve">5. </t>
    </r>
    <r>
      <rPr>
        <sz val="10"/>
        <rFont val="Noto Sans CJK SC"/>
        <family val="2"/>
      </rPr>
      <t xml:space="preserve">조건 </t>
    </r>
    <r>
      <rPr>
        <sz val="10"/>
        <rFont val="Arial"/>
        <family val="2"/>
        <charset val="1"/>
      </rPr>
      <t xml:space="preserve">A</t>
    </r>
    <r>
      <rPr>
        <sz val="10"/>
        <rFont val="Noto Sans CJK SC"/>
        <family val="2"/>
      </rPr>
      <t xml:space="preserve">에는 품명</t>
    </r>
    <r>
      <rPr>
        <sz val="10"/>
        <rFont val="Arial"/>
        <family val="2"/>
        <charset val="1"/>
      </rPr>
      <t xml:space="preserve">·</t>
    </r>
    <r>
      <rPr>
        <sz val="10"/>
        <rFont val="Noto Sans CJK SC"/>
        <family val="2"/>
      </rPr>
      <t xml:space="preserve">품번</t>
    </r>
    <r>
      <rPr>
        <sz val="10"/>
        <rFont val="Arial"/>
        <family val="2"/>
        <charset val="1"/>
      </rPr>
      <t xml:space="preserve">·</t>
    </r>
    <r>
      <rPr>
        <sz val="10"/>
        <rFont val="Noto Sans CJK SC"/>
        <family val="2"/>
      </rPr>
      <t xml:space="preserve">모델명을 넣지 않습니다</t>
    </r>
    <r>
      <rPr>
        <sz val="10"/>
        <rFont val="Arial"/>
        <family val="2"/>
        <charset val="1"/>
      </rPr>
      <t xml:space="preserve">. </t>
    </r>
    <r>
      <rPr>
        <sz val="10"/>
        <rFont val="Noto Sans CJK SC"/>
        <family val="2"/>
      </rPr>
      <t xml:space="preserve">물품설명만</t>
    </r>
    <r>
      <rPr>
        <sz val="10"/>
        <rFont val="Arial"/>
        <family val="2"/>
        <charset val="1"/>
      </rPr>
      <t xml:space="preserve">.</t>
    </r>
  </si>
  <si>
    <r>
      <rPr>
        <sz val="10"/>
        <rFont val="Arial"/>
        <family val="2"/>
        <charset val="1"/>
      </rPr>
      <t xml:space="preserve">6. </t>
    </r>
    <r>
      <rPr>
        <sz val="10"/>
        <rFont val="Noto Sans CJK SC"/>
        <family val="2"/>
      </rPr>
      <t xml:space="preserve">조건 </t>
    </r>
    <r>
      <rPr>
        <sz val="10"/>
        <rFont val="Arial"/>
        <family val="2"/>
        <charset val="1"/>
      </rPr>
      <t xml:space="preserve">B</t>
    </r>
    <r>
      <rPr>
        <sz val="10"/>
        <rFont val="Noto Sans CJK SC"/>
        <family val="2"/>
      </rPr>
      <t xml:space="preserve">에는 품명 원문만</t>
    </r>
    <r>
      <rPr>
        <sz val="10"/>
        <rFont val="Arial"/>
        <family val="2"/>
        <charset val="1"/>
      </rPr>
      <t xml:space="preserve">. </t>
    </r>
    <r>
      <rPr>
        <sz val="10"/>
        <rFont val="Noto Sans CJK SC"/>
        <family val="2"/>
      </rPr>
      <t xml:space="preserve">관세율표 호 문언이 섞이면 정답 누출입니다</t>
    </r>
    <r>
      <rPr>
        <sz val="10"/>
        <rFont val="Arial"/>
        <family val="2"/>
        <charset val="1"/>
      </rPr>
      <t xml:space="preserve">.</t>
    </r>
  </si>
  <si>
    <r>
      <rPr>
        <sz val="10"/>
        <rFont val="Arial"/>
        <family val="2"/>
        <charset val="1"/>
      </rPr>
      <t xml:space="preserve">7. </t>
    </r>
    <r>
      <rPr>
        <sz val="10"/>
        <rFont val="Noto Sans CJK SC"/>
        <family val="2"/>
      </rPr>
      <t xml:space="preserve">시작과 종료 시 차단 확인</t>
    </r>
    <r>
      <rPr>
        <sz val="10"/>
        <rFont val="Arial"/>
        <family val="2"/>
        <charset val="1"/>
      </rPr>
      <t xml:space="preserve">: </t>
    </r>
    <r>
      <rPr>
        <sz val="10"/>
        <rFont val="Noto Sans CJK SC"/>
        <family val="2"/>
      </rPr>
      <t xml:space="preserve">결정례 번호를 대며 품명</t>
    </r>
    <r>
      <rPr>
        <sz val="10"/>
        <rFont val="Arial"/>
        <family val="2"/>
        <charset val="1"/>
      </rPr>
      <t xml:space="preserve">·</t>
    </r>
    <r>
      <rPr>
        <sz val="10"/>
        <rFont val="Noto Sans CJK SC"/>
        <family val="2"/>
      </rPr>
      <t xml:space="preserve">결정세번을 물어 모른다고 하는지 본다</t>
    </r>
    <r>
      <rPr>
        <sz val="10"/>
        <rFont val="Arial"/>
        <family val="2"/>
        <charset val="1"/>
      </rPr>
      <t xml:space="preserve">.</t>
    </r>
  </si>
  <si>
    <t xml:space="preserve">측정 프롬프트</t>
  </si>
  <si>
    <r>
      <rPr>
        <sz val="9"/>
        <color rgb="FF333333"/>
        <rFont val="Arial"/>
        <family val="2"/>
        <charset val="1"/>
      </rPr>
      <t xml:space="preserve">P1 — </t>
    </r>
    <r>
      <rPr>
        <sz val="9"/>
        <color rgb="FF333333"/>
        <rFont val="Noto Sans CJK SC"/>
        <family val="2"/>
      </rPr>
      <t xml:space="preserve">아래 물품의 한국 </t>
    </r>
    <r>
      <rPr>
        <sz val="9"/>
        <color rgb="FF333333"/>
        <rFont val="Arial"/>
        <family val="2"/>
        <charset val="1"/>
      </rPr>
      <t xml:space="preserve">HS</t>
    </r>
    <r>
      <rPr>
        <sz val="9"/>
        <color rgb="FF333333"/>
        <rFont val="Noto Sans CJK SC"/>
        <family val="2"/>
      </rPr>
      <t xml:space="preserve">코드</t>
    </r>
    <r>
      <rPr>
        <sz val="9"/>
        <color rgb="FF333333"/>
        <rFont val="Arial"/>
        <family val="2"/>
        <charset val="1"/>
      </rPr>
      <t xml:space="preserve">(HSK 10</t>
    </r>
    <r>
      <rPr>
        <sz val="9"/>
        <color rgb="FF333333"/>
        <rFont val="Noto Sans CJK SC"/>
        <family val="2"/>
      </rPr>
      <t xml:space="preserve">자리</t>
    </r>
    <r>
      <rPr>
        <sz val="9"/>
        <color rgb="FF333333"/>
        <rFont val="Arial"/>
        <family val="2"/>
        <charset val="1"/>
      </rPr>
      <t xml:space="preserve">)</t>
    </r>
    <r>
      <rPr>
        <sz val="9"/>
        <color rgb="FF333333"/>
        <rFont val="Noto Sans CJK SC"/>
        <family val="2"/>
      </rPr>
      <t xml:space="preserve">를 알려줘</t>
    </r>
    <r>
      <rPr>
        <sz val="9"/>
        <color rgb="FF333333"/>
        <rFont val="Arial"/>
        <family val="2"/>
        <charset val="1"/>
      </rPr>
      <t xml:space="preserve">.
[</t>
    </r>
    <r>
      <rPr>
        <sz val="9"/>
        <color rgb="FF333333"/>
        <rFont val="Noto Sans CJK SC"/>
        <family val="2"/>
      </rPr>
      <t xml:space="preserve">물품설명 또는 품명</t>
    </r>
    <r>
      <rPr>
        <sz val="9"/>
        <color rgb="FF333333"/>
        <rFont val="Arial"/>
        <family val="2"/>
        <charset val="1"/>
      </rPr>
      <t xml:space="preserve">]</t>
    </r>
  </si>
  <si>
    <r>
      <rPr>
        <sz val="9"/>
        <color rgb="FF333333"/>
        <rFont val="Arial"/>
        <family val="2"/>
        <charset val="1"/>
      </rPr>
      <t xml:space="preserve">P2 — </t>
    </r>
    <r>
      <rPr>
        <sz val="9"/>
        <color rgb="FF333333"/>
        <rFont val="Noto Sans CJK SC"/>
        <family val="2"/>
      </rPr>
      <t xml:space="preserve">아래 물품의 한국 </t>
    </r>
    <r>
      <rPr>
        <sz val="9"/>
        <color rgb="FF333333"/>
        <rFont val="Arial"/>
        <family val="2"/>
        <charset val="1"/>
      </rPr>
      <t xml:space="preserve">HS</t>
    </r>
    <r>
      <rPr>
        <sz val="9"/>
        <color rgb="FF333333"/>
        <rFont val="Noto Sans CJK SC"/>
        <family val="2"/>
      </rPr>
      <t xml:space="preserve">코드</t>
    </r>
    <r>
      <rPr>
        <sz val="9"/>
        <color rgb="FF333333"/>
        <rFont val="Arial"/>
        <family val="2"/>
        <charset val="1"/>
      </rPr>
      <t xml:space="preserve">(HSK 10</t>
    </r>
    <r>
      <rPr>
        <sz val="9"/>
        <color rgb="FF333333"/>
        <rFont val="Noto Sans CJK SC"/>
        <family val="2"/>
      </rPr>
      <t xml:space="preserve">자리</t>
    </r>
    <r>
      <rPr>
        <sz val="9"/>
        <color rgb="FF333333"/>
        <rFont val="Arial"/>
        <family val="2"/>
        <charset val="1"/>
      </rPr>
      <t xml:space="preserve">) </t>
    </r>
    <r>
      <rPr>
        <sz val="9"/>
        <color rgb="FF333333"/>
        <rFont val="Noto Sans CJK SC"/>
        <family val="2"/>
      </rPr>
      <t xml:space="preserve">후보를 </t>
    </r>
    <r>
      <rPr>
        <sz val="9"/>
        <color rgb="FF333333"/>
        <rFont val="Arial"/>
        <family val="2"/>
        <charset val="1"/>
      </rPr>
      <t xml:space="preserve">3</t>
    </r>
    <r>
      <rPr>
        <sz val="9"/>
        <color rgb="FF333333"/>
        <rFont val="Noto Sans CJK SC"/>
        <family val="2"/>
      </rPr>
      <t xml:space="preserve">개</t>
    </r>
    <r>
      <rPr>
        <sz val="9"/>
        <color rgb="FF333333"/>
        <rFont val="Arial"/>
        <family val="2"/>
        <charset val="1"/>
      </rPr>
      <t xml:space="preserve">, </t>
    </r>
    <r>
      <rPr>
        <sz val="9"/>
        <color rgb="FF333333"/>
        <rFont val="Noto Sans CJK SC"/>
        <family val="2"/>
      </rPr>
      <t xml:space="preserve">가능성 높은 순으로 알려줘</t>
    </r>
    <r>
      <rPr>
        <sz val="9"/>
        <color rgb="FF333333"/>
        <rFont val="Arial"/>
        <family val="2"/>
        <charset val="1"/>
      </rPr>
      <t xml:space="preserve">. </t>
    </r>
    <r>
      <rPr>
        <sz val="9"/>
        <color rgb="FF333333"/>
        <rFont val="Noto Sans CJK SC"/>
        <family val="2"/>
      </rPr>
      <t xml:space="preserve">각각 근거도 짧게 써줘</t>
    </r>
    <r>
      <rPr>
        <sz val="9"/>
        <color rgb="FF333333"/>
        <rFont val="Arial"/>
        <family val="2"/>
        <charset val="1"/>
      </rPr>
      <t xml:space="preserve">.
[</t>
    </r>
    <r>
      <rPr>
        <sz val="9"/>
        <color rgb="FF333333"/>
        <rFont val="Noto Sans CJK SC"/>
        <family val="2"/>
      </rPr>
      <t xml:space="preserve">물품설명</t>
    </r>
    <r>
      <rPr>
        <sz val="9"/>
        <color rgb="FF333333"/>
        <rFont val="Arial"/>
        <family val="2"/>
        <charset val="1"/>
      </rPr>
      <t xml:space="preserve">]</t>
    </r>
  </si>
  <si>
    <t xml:space="preserve">물품설명 추출 프롬프트 (결정례에 물품설명 칸이 비어 있을 때만)</t>
  </si>
  <si>
    <t xml:space="preserve">너는 관세 품목분류 결정례에서 물품에 대한 사실 서술만 추출하는 도구다.
아래 결정사유 전문을 읽고, 물품 자체에 대한 서술만 2~3문장으로 재작성하라.
[포함] 재질·구조·형태·구성부품 / 용도·기능·작동원리 / 장착 또는 사용처
[금지] HS 호·소호 번호 / 관세율표 부·류·호 명칭 및 인용 / 통칙 번호 / 해설서 인용 / "~에 해당함" "~로 분류함" / 4자리 이상 연속 숫자
[형식] 평서문 2~3문장, 200자 내외. 분류 판단이 아니라 물품 설명서처럼. 추측 금지.
출력은 재작성한 문장만.
---
[결정사유 전문]</t>
  </si>
  <si>
    <t xml:space="preserve">추출 모델과 측정 모델은 서로 다른 회사 것을 쓰세요.</t>
  </si>
  <si>
    <t xml:space="preserve">코드 입력 형식</t>
  </si>
  <si>
    <t xml:space="preserve">점·하이픈 없이 숫자 10자리로 통일. 예: 3820.00-2000 → 3820002000</t>
  </si>
  <si>
    <t xml:space="preserve">수식이 점·하이픈·공백을 제거하고 비교하지만, 통일해야 나중에 Python으로 자동 평가할 때 전처리가 필요 없습니다.</t>
  </si>
  <si>
    <t xml:space="preserve">앞자리 0이 사라지면 셀 서식이 텍스트인지 확인하세요.</t>
  </si>
  <si>
    <t xml:space="preserve">메모 쓰는 법</t>
  </si>
  <si>
    <t xml:space="preserve">결정사유를 복사하지 마세요. 왜 틀렸는지 본인 말로 한 줄이면 충분합니다.</t>
  </si>
  <si>
    <t xml:space="preserve">나쁜 예: 28류 주 제1호에는 "이 류의 각 호는 문맥상..." (결정례 원문 인용)</t>
  </si>
  <si>
    <t xml:space="preserve">좋은 예: 수용액이라는 이유로 단일 화합물이 아니라 보고 곧바로 38류로 감</t>
  </si>
  <si>
    <t xml:space="preserve">이 한 줄들이 30건 뒤에 유형으로 뭉치고, 그것이 만들 시스템의 기능 목록이 됩니다.</t>
  </si>
  <si>
    <t xml:space="preserve">케이스목록 — 공통 항목 단일 입력</t>
  </si>
  <si>
    <t xml:space="preserve">여기 입력한 값이 측정기록·조건B 시트로 자동 전달됩니다. 오염된 건은 유효_A / 유효_B를 X로.</t>
  </si>
  <si>
    <t xml:space="preserve">번호</t>
  </si>
  <si>
    <t xml:space="preserve">결정례 번호</t>
  </si>
  <si>
    <t xml:space="preserve">품명 원문 (조건B 입력값)</t>
  </si>
  <si>
    <t xml:space="preserve">정답 HSK</t>
  </si>
  <si>
    <t xml:space="preserve">물품설명 (조건A 입력값)</t>
  </si>
  <si>
    <t xml:space="preserve">물품설명
출처</t>
  </si>
  <si>
    <t xml:space="preserve">품명유형</t>
  </si>
  <si>
    <t xml:space="preserve">유효
A</t>
  </si>
  <si>
    <t xml:space="preserve">유효
B</t>
  </si>
  <si>
    <t xml:space="preserve">제외 사유</t>
  </si>
  <si>
    <t xml:space="preserve">품목분류2과-4285</t>
  </si>
  <si>
    <t xml:space="preserve">친환경 액상 제설제 SDI 200</t>
  </si>
  <si>
    <t xml:space="preserve">3820002000</t>
  </si>
  <si>
    <t xml:space="preserve">도로에 쌓인 눈 또는 결빙 등의 제거를 위한 액상 제설제로, 무수염화칼슘, 염화나트륨, 글리세린, 글루콘산소다, pH 조정제, 물로 조제한 액상</t>
  </si>
  <si>
    <t xml:space="preserve">원문</t>
  </si>
  <si>
    <t xml:space="preserve">품명명확</t>
  </si>
  <si>
    <t xml:space="preserve">X</t>
  </si>
  <si>
    <t xml:space="preserve">검색 ON 상태에서 측정(AI Studio 전환 전). 재측정 필요</t>
  </si>
  <si>
    <t xml:space="preserve">품목분류2과-4144</t>
  </si>
  <si>
    <t xml:space="preserve">Silica Coating Liquid; NS1033011 Grey Primer</t>
  </si>
  <si>
    <t xml:space="preserve">3207209000</t>
  </si>
  <si>
    <r>
      <rPr>
        <sz val="10"/>
        <rFont val="Arial"/>
        <family val="2"/>
        <charset val="1"/>
      </rPr>
      <t xml:space="preserve">Silica sol, Methyltrimethoxysilane, </t>
    </r>
    <r>
      <rPr>
        <sz val="10"/>
        <rFont val="Noto Sans CJK SC"/>
        <family val="2"/>
      </rPr>
      <t xml:space="preserve">안료</t>
    </r>
    <r>
      <rPr>
        <sz val="10"/>
        <rFont val="Arial"/>
        <family val="2"/>
        <charset val="1"/>
      </rPr>
      <t xml:space="preserve">(Titanium dioxide, Copper chromite black spinel </t>
    </r>
    <r>
      <rPr>
        <sz val="10"/>
        <rFont val="Noto Sans CJK SC"/>
        <family val="2"/>
      </rPr>
      <t xml:space="preserve">등</t>
    </r>
    <r>
      <rPr>
        <sz val="10"/>
        <rFont val="Arial"/>
        <family val="2"/>
        <charset val="1"/>
      </rPr>
      <t xml:space="preserve">), Isopropyl alcohol, Formic acid, Water</t>
    </r>
    <r>
      <rPr>
        <sz val="10"/>
        <rFont val="Noto Sans CJK SC"/>
        <family val="2"/>
      </rPr>
      <t xml:space="preserve">로 혼합</t>
    </r>
    <r>
      <rPr>
        <sz val="10"/>
        <rFont val="Arial"/>
        <family val="2"/>
        <charset val="1"/>
      </rPr>
      <t xml:space="preserve">·</t>
    </r>
    <r>
      <rPr>
        <sz val="10"/>
        <rFont val="Noto Sans CJK SC"/>
        <family val="2"/>
      </rPr>
      <t xml:space="preserve">조제된 회색계 점조 액상</t>
    </r>
    <r>
      <rPr>
        <sz val="10"/>
        <rFont val="Arial"/>
        <family val="2"/>
        <charset val="1"/>
      </rPr>
      <t xml:space="preserve">. </t>
    </r>
    <r>
      <rPr>
        <sz val="10"/>
        <rFont val="Noto Sans CJK SC"/>
        <family val="2"/>
      </rPr>
      <t xml:space="preserve">용도</t>
    </r>
    <r>
      <rPr>
        <sz val="10"/>
        <rFont val="Arial"/>
        <family val="2"/>
        <charset val="1"/>
      </rPr>
      <t xml:space="preserve">: </t>
    </r>
    <r>
      <rPr>
        <sz val="10"/>
        <rFont val="Noto Sans CJK SC"/>
        <family val="2"/>
      </rPr>
      <t xml:space="preserve">프라이팬 등의 세라믹 코팅</t>
    </r>
    <r>
      <rPr>
        <sz val="10"/>
        <rFont val="Arial"/>
        <family val="2"/>
        <charset val="1"/>
      </rPr>
      <t xml:space="preserve">(</t>
    </r>
    <r>
      <rPr>
        <sz val="10"/>
        <rFont val="Noto Sans CJK SC"/>
        <family val="2"/>
      </rPr>
      <t xml:space="preserve">제시한 카탈로그에서 경화 온도 </t>
    </r>
    <r>
      <rPr>
        <sz val="10"/>
        <rFont val="Arial"/>
        <family val="2"/>
        <charset val="1"/>
      </rPr>
      <t xml:space="preserve">180~300℃)</t>
    </r>
  </si>
  <si>
    <t xml:space="preserve">품번only</t>
  </si>
  <si>
    <t xml:space="preserve">O</t>
  </si>
  <si>
    <t xml:space="preserve">품목분류2과-3140</t>
  </si>
  <si>
    <r>
      <rPr>
        <sz val="10"/>
        <rFont val="Arial"/>
        <family val="2"/>
        <charset val="1"/>
      </rPr>
      <t xml:space="preserve">(</t>
    </r>
    <r>
      <rPr>
        <sz val="10"/>
        <rFont val="Noto Sans CJK SC"/>
        <family val="2"/>
      </rPr>
      <t xml:space="preserve">재확인 필요 — 기존 입력은 관세율표 호 문언</t>
    </r>
    <r>
      <rPr>
        <sz val="10"/>
        <rFont val="Arial"/>
        <family val="2"/>
        <charset val="1"/>
      </rPr>
      <t xml:space="preserve">)</t>
    </r>
  </si>
  <si>
    <t xml:space="preserve">0902100000</t>
  </si>
  <si>
    <t xml:space="preserve">파쇄상의 녹차에 소량의 합성향과 자스민꽃을 혼합하여 수지제 팩에 소매포장한 것(내용량 150g). 용도: 온수에 침출하여 음용</t>
  </si>
  <si>
    <t xml:space="preserve">결정례 품명 칸 자체에 소호 문언이 그대로 기재된 케이스. 입력 오류가 아니라 데이터 특성상 정답 누설</t>
  </si>
  <si>
    <t xml:space="preserve">품목분류1과-3731</t>
  </si>
  <si>
    <t xml:space="preserve">건담 카드게임 스타트덱 건담 어셈블 세트 Heroic Beginnings【ST01A】</t>
  </si>
  <si>
    <t xml:space="preserve">9504400000</t>
  </si>
  <si>
    <t xml:space="preserve">건담 게임용 카드 1묶음(50장), 건담 조립용 키트 3종, 설명서 2매(게임용·조립용)가 소매포장되어 제시된 물품. 카드에 표시된 공격력과 수비력을 비교해 승부를 내는 방식으로 게임을 진행함. 조립하여 완성한 미니어처 3종은 카드게임 규칙과 무관한 연출용. 업체 제시 가격비중은 카드 약 250엔, 조립키트 약 480엔</t>
  </si>
  <si>
    <t xml:space="preserve">품목분류2과-31881</t>
  </si>
  <si>
    <t xml:space="preserve">D-100 Wash Solution</t>
  </si>
  <si>
    <t xml:space="preserve">2850003000</t>
  </si>
  <si>
    <t xml:space="preserve">아지드화나트륨(Sodium azide, CAS No. 26628-22-8) 0.1% 미만을 물에 용해한 무색투명한 액상을 플라스틱 용기에 소매포장한 것(내용량 3,300ml). 용도: 시험용 검체 주입 간 검체 바늘 및 컬럼 세척 등</t>
  </si>
  <si>
    <t xml:space="preserve">품목분류3과-3310</t>
  </si>
  <si>
    <t xml:space="preserve">고순도 제약용 호스 어셈블리 SXW</t>
  </si>
  <si>
    <t xml:space="preserve">3917399000</t>
  </si>
  <si>
    <t xml:space="preserve">ㅇ 실리콘(Silicone) 재질의 호스 또는 PTFE(Polytetrafluoroethylene) 재질의 호스로서, 양 끝단에는 스테인리스 스틸 연결구가 부착됨
- (용도) 유체 이송(배지, 약액, 최종원액 등)용으로 제약(백신) 제조공정*의 여러 장비**에 연결되어 사용됨
* 세포에서 항체를 만들고, 불순물과 바이러스를 제거한 뒤 농축‧조성 조정을 거쳐 최종 용기에 무균 충전하는 공정
** Chromatography skid, Virus filter skid, UF/DF skid, Filling station
ㅇ SXW : 약 길이 1200㎜, 직경 48㎜, 파열압 0.345 ∼ 1.03(㎫), 실리콘재질, 스테인리스 스틸 와이어로 보강됨
※ 제조사 홈페이지: “의약품, 화장품 및 식품이송에 적합”</t>
  </si>
  <si>
    <t xml:space="preserve">품목분류3과-3040</t>
  </si>
  <si>
    <r>
      <rPr>
        <sz val="10"/>
        <rFont val="Arial"/>
        <family val="2"/>
        <charset val="1"/>
      </rPr>
      <t xml:space="preserve">CUSHION COMPACT </t>
    </r>
    <r>
      <rPr>
        <sz val="10"/>
        <rFont val="Noto Sans CJK SC"/>
        <family val="2"/>
      </rPr>
      <t xml:space="preserve">외용기</t>
    </r>
    <r>
      <rPr>
        <sz val="10"/>
        <rFont val="Arial"/>
        <family val="2"/>
        <charset val="1"/>
      </rPr>
      <t xml:space="preserve">, </t>
    </r>
    <r>
      <rPr>
        <sz val="10"/>
        <rFont val="Noto Sans CJK SC"/>
        <family val="2"/>
      </rPr>
      <t xml:space="preserve">내용기 </t>
    </r>
    <r>
      <rPr>
        <sz val="10"/>
        <rFont val="Arial"/>
        <family val="2"/>
        <charset val="1"/>
      </rPr>
      <t xml:space="preserve">,</t>
    </r>
    <r>
      <rPr>
        <sz val="10"/>
        <rFont val="Noto Sans CJK SC"/>
        <family val="2"/>
      </rPr>
      <t xml:space="preserve">메쉬링</t>
    </r>
    <r>
      <rPr>
        <sz val="10"/>
        <rFont val="Arial"/>
        <family val="2"/>
        <charset val="1"/>
      </rPr>
      <t xml:space="preserve">(+</t>
    </r>
    <r>
      <rPr>
        <sz val="10"/>
        <rFont val="Noto Sans CJK SC"/>
        <family val="2"/>
      </rPr>
      <t xml:space="preserve">리드씰</t>
    </r>
    <r>
      <rPr>
        <sz val="10"/>
        <rFont val="Arial"/>
        <family val="2"/>
        <charset val="1"/>
      </rPr>
      <t xml:space="preserve">)</t>
    </r>
  </si>
  <si>
    <t xml:space="preserve">3923100000</t>
  </si>
  <si>
    <t xml:space="preserve">ㅇ 물품개요
- 화장품 CUSHION COMPACT 용기를 구성하는 ① 외용기, ② 내용기, ③ 매쉬링(리드씰 포함)이 미조립 상태로 제시, 각 구성요소를 결합하면 케이스 완성품이 됨 (파운데이션 내용물 미포함)
- 구성요소는 각 개별박스에 벌크 포장된 형태로 함께 제시
- 구성요소
① 외용기(ABS, AS, GLASS) : 내부에 거울이 부착된 화장품 외부 용기
② 내용기(PP) : 화장품(파운데이션)을 담는 내부 용기
③ 매쉬링(리드씰 포함)(NYLON, PP/PE, AL) : 화장품이 균일하게 도포되도록 돕는 매쉬망과 고정링에 제품보호용 씰(제거후 사용)이 부착됨
ㅇ 수입 후 제조공정
- 원료 칭량(Weighing) → 교반 → 믹싱 → 내용기 충전(몰드진입, 용기공급, 충전, 매쉬망, 실링, 라벨링, 배출) → 외용기 결합 → 포장</t>
  </si>
  <si>
    <t xml:space="preserve">품목분류4과-1253</t>
  </si>
  <si>
    <t xml:space="preserve">MIRAMER PU5000; MIRAMER PU5000; 200KG DRUM</t>
  </si>
  <si>
    <t xml:space="preserve">3909500000</t>
  </si>
  <si>
    <t xml:space="preserve">ㅇ (개요) ① Polyurethane acrylate*(우레탄계 프리폴리머) 35~40%, ② 2-Propenoic acid reaction products with pentaerythritol(미반응원료) 10~15%, ③ Ethoxylated pentaerythritol tetraacrylate(점도조정제, 희석제) 50%로 구성된 무색투명한 점조액상
* 성분명 : 2-[[(1-Oxo-2-propenyl)oxy]methyl]-2-[[[[[[1,3,3-trimethyl-5- [[[3-[(1-oxo-2-propenyl)oxy]-2,2-bis[[(1-oxo-2-propenyl)oxy]methyl]propoxy]carbonyl]amino]cyclohexyl]methyl]amino]carbonyl]oxy]methyl]-1,3-propanediyl 2-propenoate
ㅇ (제조공정) 원료 투입 → 반응 → 여과 및 포장
ㅇ (원료)</t>
  </si>
  <si>
    <t xml:space="preserve">품목분류4과-1933</t>
  </si>
  <si>
    <t xml:space="preserve">LOCAL FIRE FIGHTING SYSTEM; WATER MIST SYSTEM;MIST</t>
  </si>
  <si>
    <t xml:space="preserve">8424899000</t>
  </si>
  <si>
    <t xml:space="preserve">ㅇ 물품개요
- 안건 물품은 선박의 기관실 등에서 화재 발생시 화재감지 신호에 따라 펌프가 작동하여 물을 미립화하여 고압으로 분무함으로써 화재를 진압하는 화재 진압 시스템(소화수 탱크는 미제시됨)
ㅇ 용도 : 선박 기관실(주기관, 발전기, 보일러 등 고위험 설비)내의 화재 방호
ㅇ 작동원리 : 물 입자를 미분무수화하여 표면적을 증가시키고 열을 흡수함과 동시에 물의 증발을 최대화하여 냉각 효과로 소화
ㅇ 주요 구성요소 및 기능
- 펌프 : 화재 발생시 노즐로 소화수를 전달
- 컨트롤판넬 : 시스템 제어 및 상태관리
- 미분수 노즐 : 소화수(물)를 분사하여 화재를 진압하는 장치
- 배관 및 밸브 : 제어 신호에 따라 소화수 공급 및 배관 라인 개폐
- 화재감지기 : 화재 발생시 연기, 열, 화염 등을 감지하여 컨트롤판넬로 전달
- (미제시) 소화수 탱크 : 소화수를 저장하는 장치이며 펌프와 배관으로 연결</t>
  </si>
  <si>
    <t xml:space="preserve">품목분류3과-3871</t>
  </si>
  <si>
    <t xml:space="preserve">PC WITH SOFT; 6V9Y0048; FC-E23W-G26CV9-SSDMODE;</t>
  </si>
  <si>
    <t xml:space="preserve">8471501000</t>
  </si>
  <si>
    <t xml:space="preserve">ㅇ 물품 개요
- 반도체 세정장비*(SU-3200)에 사용되는 산업용 컴퓨터로 제어 프로그램이 설치되어 수입
* 반도체 제조공정 중 발생한 Wafer 표면의 각종 이물질을 화공약품을 이용하여 제거
ㅇ 기능 및 용도: 장비 전체 운영의 중앙 제어, 장비 상태 모니터링 및 보호, 데이터 수집 및 로깅, 장비 최적화·스케줄링 기능, 보안·사용자 권한 관리, 서브 시스템과의 통신 및 제어 명령 분배
ㅇ 일반 프로그램 설치 가능 여부
- 신청 물품은 Windows 운영체제가 설치된 산업용 컴퓨터로서, 일반 PC와 동일하게 다양한 프로그램의 설치 및 실행이 가능하며, 프로그램 설치와 관련된 기술적 제한 없음
ㅇ 제어 방식: 신청 물품이 장치 운용을 위한 명령*을 VME Controller에 지시 → VME Controller는 다시 각 모듈**에 동작***을 지시 → 모듈 수행에 따른 각종 데이터를 다시 VME Controller가 취합 후 신청 물품으로 송부
* 사용자 입력 및 시스템 조건에 따른 장비의 가동, 정지, 중단
** 로봇 컨트톨러, 반송 장치, 챔버, 밸브, 센서 등
*** 로봇 동작(Move, Pick up, Place 등), Motor/Pump 제어(위치, 속도 관련 정보) 등</t>
  </si>
  <si>
    <t xml:space="preserve">품목분류2과-1654</t>
  </si>
  <si>
    <t xml:space="preserve">KP-SOL-90</t>
  </si>
  <si>
    <t xml:space="preserve">2710129000</t>
  </si>
  <si>
    <t xml:space="preserve"> ㅇ 물품개요
- 수소처리된 경질 나프타[Naphtha(petroleum), hydrotreated light] (85%~95%), 방향족 탄화수소 혼합물* (1%~10%)을 혼합한 무색 투명한 액상[비방향족 성분 중량이 방향족 성분 중량을 초과, ISO 3405방법으로 210℃에서 90%이상 증류]
* Mixed xylene : 에틸벤젠(Ethylbenzene) 50~60%, 크실렌(Xylene) 40~50%
- 용도: 산업용 용제</t>
  </si>
  <si>
    <t xml:space="preserve">품목분류2과-1460</t>
  </si>
  <si>
    <t xml:space="preserve">FROZEN GINGER WITH SUGAR</t>
  </si>
  <si>
    <t xml:space="preserve">2008999000</t>
  </si>
  <si>
    <t xml:space="preserve">ㅇ 물품개요
- 원상의 생강을 끓는 물에 담가 세척하고 절단하여 설탕 시럽(끓는 물에 설탕을 녹여 만든 시럽을 용기 3개에 담은 후 순차적으로 침적)에 침적한 후 잔류 시럽을 배출한 생강 채 50%에 설탕 50%를 넣어 포장하여 냉동한 것
- 용도 : 식용(생강차 제조용)
- 분석결과
▪시료 : 수분 약 36.9% ①자당 약 56% ②자당 약 50% / 시럽 자당 약 59%
▪생강(미 농무성) : 수분 78.9%, 당 1.7%
- 제조공정
원상의 생강 ⇒ 세척(끓는 물에 담금/살균 및 전분 제거) ⇒ 채 썰기 ⇒ 설탕 시럽에 3회 침적(끓는 물에 설탕을 녹여 만든 시럽을 용기* 3개에 나눠 담은 후 생강 채를 각 시럽에 순차적으로 침적) ⇒ 시럽 배출 ⇒ 설탕 혼합 ⇒ 포장 ⇒ 냉동
※ 생강 채를 시럽에 넣어 끓이지 않는 이유
- 생강 채를 설탕 시럽에 담근 상태에서 끓이면 생강의 형태를 유지하기 어렵기 때문에, 생강 형상을 최대한 유지하기 위해 끓는 물에 설탕을 녹여 만든 시럽에 침적하는 방식으로 제조</t>
  </si>
  <si>
    <t xml:space="preserve">품목분류4과-945</t>
  </si>
  <si>
    <t xml:space="preserve">COOLOA; RH-CD02W</t>
  </si>
  <si>
    <t xml:space="preserve">8424209000</t>
  </si>
  <si>
    <t xml:space="preserve">ㅇ 물품개요
- CO₂가스를 동력원으로 화장품을 피부 표면에 미세하고 균일하게 분사하는 미용기기
- 분사 과정 중 화장품의 온도를 낮춰 피부에 쿨링감을 제공
ㅇ 주요 구성요소 및 기능
- 노즐 : CO₂가스를 제어하면서 분사 방향/각도 유지
- 냉각모듈 : 열전대소자(Peltier)*로, 화장품의 온도를 쿨링감있게 유지
* 전기를 흘리면 한쪽 면은 차가워지고 반대쪽 면은 뜨거워지는 열전소자
- 솔레노이드 밸브 : 전자제어 밸브로 가스 분사량 제어
- 디스플레이 : 배터리, 오류코드 등 상태 표시
- 트리거(방아쇠), USB-C 충전 포트, 리튬이온 배터리(3,350㎃h) 내장 등
- CO₂카트리지(미제시) : 고압 액화 CO₂가 밀봉된 소형 실린더
- 컨테이너(미제시) : 액상 화장품을 담는 용기
ㅇ 작동 원리
- 카트리지와 컨테이너 장착(미제시) → 트리거 작동 → 솔레노이드밸브가 개방되며 CO₂가스가 부품 내의 용기 안으로 이동 → 용기 내부 압력 상승 → 화장품이 노즐을 통해 약 45° 각도로 분사
- CO₂가스(극저온 냉매, -79도)의 분사로 화장품의 온도를 급속히 낮추고 이를 열전대(Peltier) 소자로 급속 가열하여 피부에 전달되는 온도(2~4도)로 유지</t>
  </si>
  <si>
    <t xml:space="preserve">품목분류1과-876</t>
  </si>
  <si>
    <t xml:space="preserve">16mm F6.5 autofocus VIS+NIR lens; 820-20194-005</t>
  </si>
  <si>
    <t xml:space="preserve">9002119090</t>
  </si>
  <si>
    <t xml:space="preserve">ㅇ 물품 개요
- 산업용 스마트카메라*의 일종인 In-sight Vision 장비에 전용되는 대물렌즈로, 측정 대상 물품의 상을 포착하여 후방(스마트 카메라 본체)에 위치한 CMOS 이미지 센서에 상을 맺게 함
* 일반적인 카메라와 달리 영상획득, 영상처리, 판단․제어 로직을 하나의 장치로 통합한 비전(vision) 측정검사 장비(제9031.4호에 분류되고 있음)
ㅇ 구성 요소별 기능
① 렌즈 : 일반렌즈와 액체 렌즈가 결합된 형태로, 포착된 피사체의 상을 스마트 카메라 본체 내부의 CMOS 이미지 센서 위에 결상시킴(본체의 CMOS 센서가 이를 디지털 신호로 변환하여 영상 데이터를 생성)
② 커넥터 : 액체 렌즈 부분의 셀을 형성하기 위해서 전력을 공급하고, 촬영 간 초점을 빠르게 전환하기 위한 제어 명령 전달
③ 장착 부분 : Auto Focus 렌즈(쟁점물품)와 In-sight 제품(본체)을 연결하는 부분으로 인사이트 제품의 장착에 맞게 홈이 파여 있으며 제품을 연결하기 위해 볼트가 삽입된 연결부분이 있음.</t>
  </si>
  <si>
    <t xml:space="preserve">품목분류2과-1011</t>
  </si>
  <si>
    <t xml:space="preserve">ㅇ 재우스오라쿠고에이취플라스타(살리실산); OLAKUKO - H;</t>
  </si>
  <si>
    <t xml:space="preserve">3004909900</t>
  </si>
  <si>
    <t xml:space="preserve">ㅇ 물품개요
- 살리실산을 주성분으로 한 황색 페이스트를 원형 스펀지 중앙에 채운 후 스트립상의 접착시트에 부착한 것을 소매포장한 것(내용량 : 100g, 12매/box)
- 용도: 티눈, 굳은 살, 사마귀 제거(일반의약품)</t>
  </si>
  <si>
    <t xml:space="preserve">품목분류2과-1000</t>
  </si>
  <si>
    <t xml:space="preserve">Hepatitis A Vaccine Inactivated-Final Container-Internal Control; CWN0697A39</t>
  </si>
  <si>
    <t xml:space="preserve">3002494000</t>
  </si>
  <si>
    <t xml:space="preserve">ㅇ 물품개요
- 불활성화 A형 간염 바이러스 항원을 안정제, 보존제, 주사용수 등에 혼합하여 조제한 투명 액상을 주사기(몸체) 모양 용기에 소매 포장하여 냉동한 것(내용량: 1000㎕)
- 용도 : 효소결합면역흡착측정(ELISA)*분석 시 사용되는 기준물질(내부 대조군)
* 항원-항체 반응을 이용하여 항원이나 항체의 양을 측정하는 분석법</t>
  </si>
  <si>
    <t xml:space="preserve">품목분류2과-254</t>
  </si>
  <si>
    <t xml:space="preserve">ZEASTAT</t>
  </si>
  <si>
    <t xml:space="preserve">3808999000</t>
  </si>
  <si>
    <r>
      <rPr>
        <sz val="10"/>
        <rFont val="Arial"/>
        <family val="2"/>
        <charset val="1"/>
      </rPr>
      <t xml:space="preserve">o Propanediol(92.5%), Caprylhydroxamic acid(7.5%)</t>
    </r>
    <r>
      <rPr>
        <sz val="10"/>
        <rFont val="Noto Sans CJK SC"/>
        <family val="2"/>
      </rPr>
      <t xml:space="preserve">로 혼합‧조제된 무색투명 액상
</t>
    </r>
    <r>
      <rPr>
        <sz val="10"/>
        <rFont val="Arial"/>
        <family val="2"/>
        <charset val="1"/>
      </rPr>
      <t xml:space="preserve">- </t>
    </r>
    <r>
      <rPr>
        <sz val="10"/>
        <rFont val="Noto Sans CJK SC"/>
        <family val="2"/>
      </rPr>
      <t xml:space="preserve">용도 </t>
    </r>
    <r>
      <rPr>
        <sz val="10"/>
        <rFont val="Arial"/>
        <family val="2"/>
        <charset val="1"/>
      </rPr>
      <t xml:space="preserve">: </t>
    </r>
    <r>
      <rPr>
        <sz val="10"/>
        <rFont val="Noto Sans CJK SC"/>
        <family val="2"/>
      </rPr>
      <t xml:space="preserve">화장품 제조용 보존제</t>
    </r>
    <r>
      <rPr>
        <sz val="10"/>
        <rFont val="Arial"/>
        <family val="2"/>
        <charset val="1"/>
      </rPr>
      <t xml:space="preserve">(0.5</t>
    </r>
    <r>
      <rPr>
        <sz val="10"/>
        <rFont val="Noto Sans CJK SC"/>
        <family val="2"/>
      </rPr>
      <t xml:space="preserve">～</t>
    </r>
    <r>
      <rPr>
        <sz val="10"/>
        <rFont val="Arial"/>
        <family val="2"/>
        <charset val="1"/>
      </rPr>
      <t xml:space="preserve">1.0% </t>
    </r>
    <r>
      <rPr>
        <sz val="10"/>
        <rFont val="Noto Sans CJK SC"/>
        <family val="2"/>
      </rPr>
      <t xml:space="preserve">사용</t>
    </r>
    <r>
      <rPr>
        <sz val="10"/>
        <rFont val="Arial"/>
        <family val="2"/>
        <charset val="1"/>
      </rPr>
      <t xml:space="preserve">)</t>
    </r>
  </si>
  <si>
    <t xml:space="preserve">품목분류1과-1222</t>
  </si>
  <si>
    <t xml:space="preserve">OPENER</t>
  </si>
  <si>
    <t xml:space="preserve">8205510000</t>
  </si>
  <si>
    <t xml:space="preserve"> ㅇ 물품개요
- 맥주병박스 형상의 병따개를 들고 있는 두꺼비 형상의 피규어로, 병따개와 피규어에 해당 브랜드 주류의 로고(“TERRA”, “진로”)가 인쇄되어 있음
※ 피규어: 다양한 동작을 표현할 수 있도록 관절이 움직일 수 있게 만들어 놓은, 인간이나 동물 형상의 장난감 (출처: 고려대 한국어대사전)
- 병따개는 피규어로부터 수시로 탈부착 가능(병따개 사용 시 피규어로부터 분리하여 단독으로 사용하여야 함)
※ 사전심사 신청시 제시견본은 병따개가 피규어의 손에 접착제로 붙어있는 상태로 제시되었으나, 업체로부터 제시상태를 재확인한 결과, 병따개를 피규어로부터 수시로 탈부착할 수 있는 상태로 제시상태를 확정함.
- 현재 시중에 해당 브랜드의 두꺼비 캐릭터 굿즈가 다양하게 판매되고 있으나, 본 물품의 피규어와 동일한 형상의 피규어가 병따개 없이 단독으로 판매되고 있지는 않음</t>
  </si>
  <si>
    <t xml:space="preserve">품목분류3과-665</t>
  </si>
  <si>
    <t xml:space="preserve">PVC ROLLING MAT</t>
  </si>
  <si>
    <t xml:space="preserve">3918101000</t>
  </si>
  <si>
    <t xml:space="preserve">ㅇ 물품개요
- PVC 원단과 PE 시트를 적층한 롤 상의 매트(1100×3000×16mm)
- 용도 : 운동 및 놀이 시 층간소음방지, 미끄럼방지 및 충격완화
ㅇ 제조공정
- 무가교+화학가교 PE 시트 합지 → 논슬립 PE 필름 합지 → 발포 PVC 원단 합지 → 폭 컷팅 → 권취 및 숙성 → 길이 재단 → 포장</t>
  </si>
  <si>
    <t xml:space="preserve">품목분류1과-227</t>
  </si>
  <si>
    <r>
      <rPr>
        <sz val="10"/>
        <rFont val="Arial"/>
        <family val="2"/>
        <charset val="1"/>
      </rPr>
      <t xml:space="preserve">Samsung Freezer (</t>
    </r>
    <r>
      <rPr>
        <sz val="10"/>
        <rFont val="Noto Sans CJK SC"/>
        <family val="2"/>
      </rPr>
      <t xml:space="preserve">모델명 </t>
    </r>
    <r>
      <rPr>
        <sz val="10"/>
        <rFont val="Arial"/>
        <family val="2"/>
        <charset val="1"/>
      </rPr>
      <t xml:space="preserve">: RZ24A5600AP)</t>
    </r>
  </si>
  <si>
    <t xml:space="preserve">8418400000</t>
  </si>
  <si>
    <t xml:space="preserve">ㅇ 물품개요
- 냉장, 냉동, 김치냉장고로 변온 가능한 1도어 냉동/냉장고로 외부에 온도를 조절할 수 있는 디스플레이*가 설치되어 있음
* 디스플레이 터치패널에 냉동/냉장기능을 선택할 수 있는 ‘온도설정’ 버튼과 김치냉장고로 기능을 전환하는 ‘김치저장’ 버튼이 있음
- 냉동은 –17℃∼-23℃ 사이, 냉장은 5℃∼0℃에서 조절함(온도 설정 버튼으로 전환)
- 규격 : 455 × 1,853 × 685㎜, 용량 : 240ℓ
ㅇ 주요 구성요소
- 압축기 : 냉매를 고압 상태로 압축함
- 응축기 : 고온 고압 냉매를 응축시킴
- 증발기 : 냉매 증발로
- Cabinet : 저온의 온도를 유지하기 위한 본체(단열재 두께 55㎜)
- Door : 내용물을 넣고 빼고 할 수 있는 도어
ㅇ 기능
① 냉동 : 냉동 온도를 유지할 수 있는 단열재 두께(55㎜)*를 가진 Cabinet과 냉각 능력의 압축기**로 구성됨
* 냉장고 Cabinet의 경우 일반적으로 40㎜ 내외의 단열재 두께를 가짐
** 190㎉/Hr 출력의 냉매 용량 11㏄급 압축기가 설치되어 있으며, 해당 압축기가 상시 작동하여 냉매를 압축시키고 증발기를 통해 냉매를 기화시켜 냉동 온도(–17℃∼-23℃)를 유지할 수 있도록 냉각함
② 냉장, 김치 : 냉장 설정하는 경우 3℃, 김치 설정의 경우 0℃∼1℃를 유지할 수 있도록 압축기를 On/Off 하여 목표 온도에 도달하면 압축기가 정지하고, 기준 온도를 벗어나면 다시 압축기가 작동하여 고내 온도를 유지 (압축기를 냉동기능 활용 시에 비해 저 RPM으로 회전시켜 효율을 극대화)</t>
  </si>
  <si>
    <t xml:space="preserve">품목분류4과-136</t>
  </si>
  <si>
    <t xml:space="preserve">중심봉147N(분체); C1-G5047-60; CN</t>
  </si>
  <si>
    <t xml:space="preserve">9401991000</t>
  </si>
  <si>
    <t xml:space="preserve">ㅇ 물품개요
- 의자의 좌판과 하부 베이스를 연결하며 내부에 충전된 질소가스를 이용하여 실린더 내부 ROD의 상하운동을 발생시켜 의자의 높낮이를 조절하는 물품
- 재질 : Steel, 플라스틱, 고무 등
1. RUBBER (고무)
- 실린더 내부 기밀성을 보조하고, 외부 충격 및 마찰을 줄임
- 완충 및 밀봉 역할
2. ROD (로드)
- 피스톤과 연결되어 의자의 상하 운동을 직접적으로 전달
- 위아래로 움직이며 높이 조절의 핵심 축 역할
3. CAN (캔)
- 가스가 충전된 용기 부분으로, 압축가스를 저장
- 내부 압력으로 피스톤을 밀어내어 의자를 들어올릴 수 있도록 함
4. BUSHING (부싱)
- 로드가 움직일 때 마찰을 줄여주고, 직선 운동을 안정적으로 안내
- 마모 방지 및 수명 연장 역할.
5. OUTER PIPE (외관 파이프)
- 전체 실린더를 감싸는 외부 구조물.
- 안전을 위해 가스실린더의 내부 압력 부품을 보호
6. BUTTON (버튼)
- 사용자가 누르면 내부 밸브(게이트)가 열려 가스의 흐름을 제어
- 의자의 높낮이 조절 시작 동작
7. BUTTON GUIDE (버튼 가이드)
- 버튼의 위치와 움직임을 일정하게 유지하도록 안내하는 부품.
- 밸브 작동을 정확하게 유도
8. HATCH ASSY (해치 어셈블리)
- 버튼과 연결된 밸브 장치.
- 버튼 조작 시 내부 게이트가 열리도록 제어
9. PISTON (피스톤)
- 압축가스의 힘을 받아 로드를 위로 밀어올리는 부품.
- 의자가 올라가는 동력 발생 부분
10. GATE (게이트)
- 버튼을 눌렀을 때 열리고 닫히는 밸브 역할
- 가스의 흐름을 제어하여 의자의 높낮이가 조절
11. GAS SEAL (가스 씰)
- 내부 압축가스가 새지 않도록 밀봉.
- 기밀 유지 및 안정적인 작동 보장.
12. RIGID (리지드 부품)
- 구조적 강도를 확보하는 보강 부품.
- 피스톤과 게이트 주변을 견고하게 지지
13. BEARING ASSY (베어링 어셈블리)
- 회전 및 직선 운동 시 마찰을 줄여 원활한 작동을 도움
14. CUP (컵)
- 가스 누설 방지 및 충격 흡수용 보조 밀폐 부품.
- 로드의 왕복 운동에서 밀봉 성능 보완.
ㅇ 작동원리
- 버튼을 누르면 내부 밸브(게이트)가 열리고
- (상향 조정) 내부 압축가스가 피스톤을 밀어 올리면서 로드가 위로 이동하여 의자 높이 상승
- (하향 조정) 사용자가 앉아 있는 상태에서 버튼을 누르면, 체중으로 인해 피스톤이 눌려 가스가 재배치되며 로드가 내려가고 의자 높이 하강
.
- (높이 고정) 버튼에서 손을 떼면 게이트가 닫히고, 원하는 높이에서 고정</t>
  </si>
  <si>
    <t xml:space="preserve">품목분류4과-676</t>
  </si>
  <si>
    <t xml:space="preserve">MEGAD PC-WR</t>
  </si>
  <si>
    <t xml:space="preserve">3907291090</t>
  </si>
  <si>
    <t xml:space="preserve">ㅇ (개요) 수용성고분자(Cas No. 577705-43-2), 물로 구성된 투명한 점조 액상
[제시자료]
- (성분)
- (수용성고분자 구조식) 아크릴산과 VPEG*의 공중합체
* 비닐기를 가진 폴리옥시에틸렌(폴리에틸렌 글리콜) 모노메탈릴 에테르
(CAS No. 31497-33-3)
- 주쇄**가 아크릴산으로 형성되고, VPEG가 가지형태로 결합된 구조
** 주쇄 : 고분자 화합물의 핵심 골격을 이루는 사슬
- (반복단위 수) 아크릴산 29, VPEG 13 → 중합도 5 이상
- (생산 중량비) VPEG : 아크릴산 = 100 : 13***
*** 중량 백분율 : VPEG[88.5%, 100/(100+13)*100],
아크릴산[11.5%, 13/(100+13)*100]
ㅇ (용도) 콘크리트 혼화제(특정한 성능을 부여하는 첨가제) 원료
- 콘크리트는 일반적으로 시멘트, 자갈, 모래, 물을 주원료로 하여 제조
- 콘크리트의 강도를 높이기 위해 물의 양을 줄이게 되면, 반죽의 점도가 높아져 작업성이 저하되는 문제가 발생할 수 있음
- 본건 물품은 시멘트 입자를 효과적으로 분산시켜 물의 양을 줄이더라도 반죽이 과도하게 되직해지지 않도록 도와주며, 작업성과 강도를 동시에 확보할 수 있도록 함
ㅇ (분석결과) Polyethylene glycol monomethallyl ether(폴리옥시에틸렌, 최대중량, 95% 미만)와 아크릴산의 공중합체, 물로 구성된 미황색 투명 점조액상[중합도 5 이상, 20℃에서 0.5% 수용액의 표면장력이 45dyne/cm 초과]</t>
  </si>
  <si>
    <t xml:space="preserve">품목분류4과-174</t>
  </si>
  <si>
    <t xml:space="preserve">WOMEN'S SHOES 25SLT-NW059</t>
  </si>
  <si>
    <t xml:space="preserve">6403999000</t>
  </si>
  <si>
    <t xml:space="preserve"> ㅇ 물품개요
- 바깥바닥은 플라스틱, 갑피는 가죽으로 만든 발목을 덮지 않고 발가락, 발등, 뒤꿈치의 일부분이 노출되는 샌들형태의 신발
- 제시성분(바깥바닥: 폴리우레탄, 갑피: 소가죽 100%)</t>
  </si>
  <si>
    <t xml:space="preserve">품목분류3과-183</t>
  </si>
  <si>
    <t xml:space="preserve">Monitor Arm ; PMA2W</t>
  </si>
  <si>
    <t xml:space="preserve">7616999090</t>
  </si>
  <si>
    <t xml:space="preserve">ㅇ 물품개요
- Rear Arm, Front Arm, Clamp, VESA Plate, 볼트 등이 미조립 상태로 포장된 것으로, 조립하면 모니터용 ARM이 완성됨
- 책상에 고정되어 모니터 지지 및 위치를 조절해 주는 기능을 수행
ㅇ 주요 구성요소별 기능
- VESA Plate : 모니터 후면에 결합 부분
- Front Arm(상부) : VESA Plate와 Rear Arm 사이 연결 부분, Gas Spring이 내장되어 있어, 시용자의 요구에 따라 상하·좌우·전후로 움직임 가능
- Rear Arm(하부) : Front Arm과 Clamp 연결 부분, 좌우 방향으로 움직임 가능
- Clamp(2종) : 책상에 고정해 주는 부분으로 클램프 타입과 홀 타입로 구성되며, 장착 방법에 따라 선택적 사용됨(미선택 타입은 미사용됨)
ㅇ 구성 요소별 상세 중량
- 각각의 구성요소는 주로 철강과 알루미늄으로 구성되며, 조립 완성된 물품의 경우 선택되는 클램프 타입에 따라 철강 또는 알루미늄이 최대 중량임
* 클램프 타입인 경우 철강이, 홀 타입인 경우 알루미늄이 최대 중량임</t>
  </si>
  <si>
    <t xml:space="preserve">품목분류2과-1452</t>
  </si>
  <si>
    <t xml:space="preserve">PROPOLIS ROYAL JELLY HONEY MIX; Propolis Honey Mix. For Kids</t>
  </si>
  <si>
    <t xml:space="preserve">0409000000</t>
  </si>
  <si>
    <t xml:space="preserve">ㅇ 물품개요
- 상기 성분으로 혼합된 황색∼갈색계 점조액상
- 용도 : 식용</t>
  </si>
  <si>
    <t xml:space="preserve">품목분류4과-947</t>
  </si>
  <si>
    <t xml:space="preserve"> REPAIR CAM-FUEL; MC TYPE ENGINE</t>
  </si>
  <si>
    <t xml:space="preserve">8483909000</t>
  </si>
  <si>
    <t xml:space="preserve">크롬-몰리브데넘강 재질의 중공이 있는 특정 형상의 물품으로 기계식 선박 엔진(출력: 2,000kw 초과)의 캠샤프트(cam shaft)에 조립되어 샤프트가 회전하면 이를 직선운동으로 바꾸어 밸브에 동력을 전달하는 물품
- 동력전달 순서 : Camshaft → Fuel cam → Fuel &amp; exh’ gear → Fuel Pump → Fuel valve → 연료 분사</t>
  </si>
  <si>
    <t xml:space="preserve">품목분류3과-1088</t>
  </si>
  <si>
    <t xml:space="preserve"> PE Tarpaulin(GUARDMAN)</t>
  </si>
  <si>
    <t xml:space="preserve">3926909000</t>
  </si>
  <si>
    <t xml:space="preserve">ㅇ 물품 개요
- 폴리에틸렌 스트립(시폭: 2.5㎜, 두께: 0.08㎜)을 위․경사로 직조한 평직물 양면에 폴리에틸렌 수지로 완전히 도포하여 만든 정사각형 시트로, 가장자리는 접어서 마감처리하고, 일정한 간격으로 금속제 아일릿(eyelet)을 부착한 것
- (제시 규격) 5m × 5m, 중량: 120g/m2, 두께: 약 0.23㎜
- (용도) 화물 보호용 덮개, 임시 가림막, 차양막, 캠핑용 방수 시트 등
- (제조공정) 원재료(PE) 칩 입고 → 원사 생산 → 직조 → 방수액 코팅 → 가장자리 압출 → 절단 → 아일렛 부착 → 완제품 포장</t>
  </si>
  <si>
    <t xml:space="preserve">품목분류3과-200</t>
  </si>
  <si>
    <r>
      <rPr>
        <sz val="10"/>
        <rFont val="Arial"/>
        <family val="2"/>
        <charset val="1"/>
      </rPr>
      <t xml:space="preserve">4 Fingerprint CABLE 0.6m with Holder; UL2725 28*1P+26*2C+AL+32B OD3.5 </t>
    </r>
    <r>
      <rPr>
        <sz val="10"/>
        <rFont val="Noto Sans CJK SC"/>
        <family val="2"/>
      </rPr>
      <t xml:space="preserve">블랙 </t>
    </r>
    <r>
      <rPr>
        <sz val="10"/>
        <rFont val="Arial"/>
        <family val="2"/>
        <charset val="1"/>
      </rPr>
      <t xml:space="preserve">PVC 0.6m;</t>
    </r>
  </si>
  <si>
    <t xml:space="preserve">8544422090</t>
  </si>
  <si>
    <t xml:space="preserve">ㅇ 물품 개요
- 플라스틱으로 피복된 전선 양 끝단에 접속용 커넥터가 부착되어 있는 물품 (길이: 0.6 m)
- 용도 : 지문인식기(4 Fingerprint)와 전산 기기(투표기*)를 연결하는 절연전선으로, 지문인식 신호와 지문 이미지 데이터 전송
* 투표기 : 중앙 서버에 저장되어 있는 선거인 명부의 지문 이미지를 조회하여 지문인식기의 이미지를 통해 투표권자임을 확인(사용자의 필요에 따라 프로그램 자유롭게 작성 불가)
- 구성 요소 : USB 플러그(전산 기기 연결부), PVC 케이블, GH1.25단자 커넥터(지문인식기 연결부)</t>
  </si>
  <si>
    <t xml:space="preserve"> 품목분류2과-267</t>
  </si>
  <si>
    <t xml:space="preserve">버터치킨카레(Butter Chicken Curry)</t>
  </si>
  <si>
    <t xml:space="preserve">1602329000</t>
  </si>
  <si>
    <t xml:space="preserve">덩어리상의 닭고기조각 22.2%와 토마토페이스트 11.7%, 캐슈페이스트 3.3%, 버터오일 3.3%, 유크림 3.3%, 설탕 2.5%, 토마토케첩 1.9%, 토마토퓨레 1.7%, 볶은양파 1.4%, 쿠민, 고수, 소두구, 계피, 후추, 정향, 회향, 육두구, 월계수, 파프리카, 생강, 마늘, 강황, 호로파잎, 전분, 소금, 밀가루, 정제수 등으로 조제한 적황색 페이스트를 파우치 팩에 소매포장한 것(내용량 180g)
- 용도 : 식용(끓는 물 또는 전자렌지에 데워서 밥과 함께 곁들여 먹음)
</t>
  </si>
  <si>
    <t xml:space="preserve"> 품목분류4과-3248</t>
  </si>
  <si>
    <t xml:space="preserve">코듀로이 셔츠자켓; IKYC24W01</t>
  </si>
  <si>
    <t xml:space="preserve">6205200000</t>
  </si>
  <si>
    <t xml:space="preserve">ㅇ 물품개요
- 면 직물로 만든 긴팔 상의로 실외 착용 아동용 의류
- 일정한 두께감으로 셔츠로 착용이 가능하며, 티셔츠 위에 재킷으로도 착용이 가능한 하이브리드 의류
- (형태) 전면 2개, 후면 2개에 총 4개의 세로 방향 패널이 있으며, 전면이 오픈되어 단추로 개폐되고 칼라가 있음, 밑단에 별도의 골이 진 허릿단이나 조이는 부분이 없으며 전면 가슴 부분 양쪽에 포켓이 있음, 등 부분에 영문 로고가 있음. 길이가 허리까지 오며 잠금방식이 왼편이 오른편 위로 여닫게 되어 있는 소년용 의류임
</t>
  </si>
  <si>
    <t xml:space="preserve">조건 A — 상세 물품설명 입력 (모델 성능의 상한선)</t>
  </si>
  <si>
    <t xml:space="preserve">연두색은 케이스목록 자동 연결. 노란색만 입력하세요. 조건A에는 품명·품번을 넣지 않습니다.</t>
  </si>
  <si>
    <t xml:space="preserve">물품설명 (연결)</t>
  </si>
  <si>
    <t xml:space="preserve">검색
사용</t>
  </si>
  <si>
    <t xml:space="preserve">결정례
인용</t>
  </si>
  <si>
    <r>
      <rPr>
        <b val="true"/>
        <sz val="10"/>
        <color rgb="FFFFFFFF"/>
        <rFont val="Arial"/>
        <family val="2"/>
        <charset val="1"/>
      </rPr>
      <t xml:space="preserve">P1 </t>
    </r>
    <r>
      <rPr>
        <b val="true"/>
        <sz val="10"/>
        <color rgb="FFFFFFFF"/>
        <rFont val="Noto Sans CJK SC"/>
        <family val="2"/>
      </rPr>
      <t xml:space="preserve">응답코드</t>
    </r>
  </si>
  <si>
    <r>
      <rPr>
        <b val="true"/>
        <sz val="10"/>
        <color rgb="FFFFFFFF"/>
        <rFont val="Arial"/>
        <family val="2"/>
        <charset val="1"/>
      </rPr>
      <t xml:space="preserve">P1
4</t>
    </r>
    <r>
      <rPr>
        <b val="true"/>
        <sz val="10"/>
        <color rgb="FFFFFFFF"/>
        <rFont val="Noto Sans CJK SC"/>
        <family val="2"/>
      </rPr>
      <t xml:space="preserve">자리</t>
    </r>
  </si>
  <si>
    <r>
      <rPr>
        <b val="true"/>
        <sz val="10"/>
        <color rgb="FFFFFFFF"/>
        <rFont val="Arial"/>
        <family val="2"/>
        <charset val="1"/>
      </rPr>
      <t xml:space="preserve">P1
6</t>
    </r>
    <r>
      <rPr>
        <b val="true"/>
        <sz val="10"/>
        <color rgb="FFFFFFFF"/>
        <rFont val="Noto Sans CJK SC"/>
        <family val="2"/>
      </rPr>
      <t xml:space="preserve">자리</t>
    </r>
  </si>
  <si>
    <r>
      <rPr>
        <b val="true"/>
        <sz val="10"/>
        <color rgb="FFFFFFFF"/>
        <rFont val="Arial"/>
        <family val="2"/>
        <charset val="1"/>
      </rPr>
      <t xml:space="preserve">P1
10</t>
    </r>
    <r>
      <rPr>
        <b val="true"/>
        <sz val="10"/>
        <color rgb="FFFFFFFF"/>
        <rFont val="Noto Sans CJK SC"/>
        <family val="2"/>
      </rPr>
      <t xml:space="preserve">자리</t>
    </r>
  </si>
  <si>
    <r>
      <rPr>
        <b val="true"/>
        <sz val="10"/>
        <color rgb="FFFFFFFF"/>
        <rFont val="Arial"/>
        <family val="2"/>
        <charset val="1"/>
      </rPr>
      <t xml:space="preserve">P2 </t>
    </r>
    <r>
      <rPr>
        <b val="true"/>
        <sz val="10"/>
        <color rgb="FFFFFFFF"/>
        <rFont val="Noto Sans CJK SC"/>
        <family val="2"/>
      </rPr>
      <t xml:space="preserve">후보</t>
    </r>
    <r>
      <rPr>
        <b val="true"/>
        <sz val="10"/>
        <color rgb="FFFFFFFF"/>
        <rFont val="Arial"/>
        <family val="2"/>
        <charset val="1"/>
      </rPr>
      <t xml:space="preserve">1</t>
    </r>
  </si>
  <si>
    <r>
      <rPr>
        <b val="true"/>
        <sz val="10"/>
        <color rgb="FFFFFFFF"/>
        <rFont val="Arial"/>
        <family val="2"/>
        <charset val="1"/>
      </rPr>
      <t xml:space="preserve">P2 </t>
    </r>
    <r>
      <rPr>
        <b val="true"/>
        <sz val="10"/>
        <color rgb="FFFFFFFF"/>
        <rFont val="Noto Sans CJK SC"/>
        <family val="2"/>
      </rPr>
      <t xml:space="preserve">후보</t>
    </r>
    <r>
      <rPr>
        <b val="true"/>
        <sz val="10"/>
        <color rgb="FFFFFFFF"/>
        <rFont val="Arial"/>
        <family val="2"/>
        <charset val="1"/>
      </rPr>
      <t xml:space="preserve">2</t>
    </r>
  </si>
  <si>
    <r>
      <rPr>
        <b val="true"/>
        <sz val="10"/>
        <color rgb="FFFFFFFF"/>
        <rFont val="Arial"/>
        <family val="2"/>
        <charset val="1"/>
      </rPr>
      <t xml:space="preserve">P2 </t>
    </r>
    <r>
      <rPr>
        <b val="true"/>
        <sz val="10"/>
        <color rgb="FFFFFFFF"/>
        <rFont val="Noto Sans CJK SC"/>
        <family val="2"/>
      </rPr>
      <t xml:space="preserve">후보</t>
    </r>
    <r>
      <rPr>
        <b val="true"/>
        <sz val="10"/>
        <color rgb="FFFFFFFF"/>
        <rFont val="Arial"/>
        <family val="2"/>
        <charset val="1"/>
      </rPr>
      <t xml:space="preserve">3</t>
    </r>
  </si>
  <si>
    <r>
      <rPr>
        <b val="true"/>
        <sz val="10"/>
        <color rgb="FFFFFFFF"/>
        <rFont val="Arial"/>
        <family val="2"/>
        <charset val="1"/>
      </rPr>
      <t xml:space="preserve">P2 Top1
6</t>
    </r>
    <r>
      <rPr>
        <b val="true"/>
        <sz val="10"/>
        <color rgb="FFFFFFFF"/>
        <rFont val="Noto Sans CJK SC"/>
        <family val="2"/>
      </rPr>
      <t xml:space="preserve">자리</t>
    </r>
  </si>
  <si>
    <r>
      <rPr>
        <b val="true"/>
        <sz val="10"/>
        <color rgb="FFFFFFFF"/>
        <rFont val="Arial"/>
        <family val="2"/>
        <charset val="1"/>
      </rPr>
      <t xml:space="preserve">P2 Top3
</t>
    </r>
    <r>
      <rPr>
        <b val="true"/>
        <sz val="10"/>
        <color rgb="FFFFFFFF"/>
        <rFont val="Noto Sans CJK SC"/>
        <family val="2"/>
      </rPr>
      <t xml:space="preserve">포함</t>
    </r>
  </si>
  <si>
    <t xml:space="preserve">오답유형</t>
  </si>
  <si>
    <t xml:space="preserve">메모 (왜 틀렸나)</t>
  </si>
  <si>
    <t xml:space="preserve">3824999090</t>
  </si>
  <si>
    <t xml:space="preserve">2827200000</t>
  </si>
  <si>
    <r>
      <rPr>
        <sz val="10"/>
        <rFont val="Arial"/>
        <family val="2"/>
        <charset val="1"/>
      </rPr>
      <t xml:space="preserve">(</t>
    </r>
    <r>
      <rPr>
        <sz val="10"/>
        <rFont val="Noto Sans CJK SC"/>
        <family val="2"/>
      </rPr>
      <t xml:space="preserve">집계 제외 — 재측정 대상</t>
    </r>
    <r>
      <rPr>
        <sz val="10"/>
        <rFont val="Arial"/>
        <family val="2"/>
        <charset val="1"/>
      </rPr>
      <t xml:space="preserve">)</t>
    </r>
  </si>
  <si>
    <t xml:space="preserve">3209900000</t>
  </si>
  <si>
    <t xml:space="preserve">3208909000</t>
  </si>
  <si>
    <t xml:space="preserve">호 경합 판단 오류</t>
  </si>
  <si>
    <t xml:space="preserve">물품은 정확히 이해(프라이팬 세라믹 코팅, 실란 단량체 후경화)했으나 요업·유리공업용 조제품 관점에 도달 못 함. 후보 6개 전부 32·38류에 몰리고 정답 호는 검토조차 안 됨</t>
  </si>
  <si>
    <t xml:space="preserve">0902101000</t>
  </si>
  <si>
    <t xml:space="preserve">0902109000</t>
  </si>
  <si>
    <t xml:space="preserve">2106909099</t>
  </si>
  <si>
    <t xml:space="preserve">한국 고유 세번(10자리) 오류</t>
  </si>
  <si>
    <r>
      <rPr>
        <sz val="10"/>
        <rFont val="Arial"/>
        <family val="2"/>
        <charset val="1"/>
      </rPr>
      <t xml:space="preserve">6</t>
    </r>
    <r>
      <rPr>
        <sz val="10"/>
        <rFont val="Noto Sans CJK SC"/>
        <family val="2"/>
      </rPr>
      <t xml:space="preserve">자리까지 정확</t>
    </r>
    <r>
      <rPr>
        <sz val="10"/>
        <rFont val="Arial"/>
        <family val="2"/>
        <charset val="1"/>
      </rPr>
      <t xml:space="preserve">. </t>
    </r>
    <r>
      <rPr>
        <sz val="10"/>
        <rFont val="Noto Sans CJK SC"/>
        <family val="2"/>
      </rPr>
      <t xml:space="preserve">향 첨가 여부로 세번이 갈리는 한국 고유 구분에서 </t>
    </r>
    <r>
      <rPr>
        <sz val="10"/>
        <rFont val="Arial"/>
        <family val="2"/>
        <charset val="1"/>
      </rPr>
      <t xml:space="preserve">-1000</t>
    </r>
    <r>
      <rPr>
        <sz val="10"/>
        <rFont val="Noto Sans CJK SC"/>
        <family val="2"/>
      </rPr>
      <t xml:space="preserve">을 골랐으나 결정은 </t>
    </r>
    <r>
      <rPr>
        <sz val="10"/>
        <rFont val="Arial"/>
        <family val="2"/>
        <charset val="1"/>
      </rPr>
      <t xml:space="preserve">-0000</t>
    </r>
  </si>
  <si>
    <t xml:space="preserve">9504909000</t>
  </si>
  <si>
    <t xml:space="preserve">9503003200</t>
  </si>
  <si>
    <t xml:space="preserve">세트물품 통칙 적용 오류</t>
  </si>
  <si>
    <t xml:space="preserve">상세 설명의 조립키트 비중(480엔&gt;250엔) 정보에 끌려 기타 오락용품으로 감. 조건B에서는 정답을 맞혔으므로 정보가 오히려 방해로 작용</t>
  </si>
  <si>
    <t xml:space="preserve">3822199000</t>
  </si>
  <si>
    <t xml:space="preserve">2850001000</t>
  </si>
  <si>
    <t xml:space="preserve">수용액이라는 이유로 단일 화합물이 아니라 보고 곧바로 38류 시약으로 감. 28류 주 제1호의 용매 용해 허용 규정을 적용하지 못함</t>
  </si>
  <si>
    <t xml:space="preserve">3917.39-9000</t>
  </si>
  <si>
    <t xml:space="preserve">3917.33-9000</t>
  </si>
  <si>
    <t xml:space="preserve">8421.99-9090</t>
  </si>
  <si>
    <t xml:space="preserve">3923.90-0000</t>
  </si>
  <si>
    <t xml:space="preserve">3926.90-9000</t>
  </si>
  <si>
    <t xml:space="preserve">3923.30-0000</t>
  </si>
  <si>
    <t xml:space="preserve">3909.50-0000</t>
  </si>
  <si>
    <t xml:space="preserve">3906.90-9000</t>
  </si>
  <si>
    <t xml:space="preserve">3824.99-9090</t>
  </si>
  <si>
    <t xml:space="preserve">8424.89-9000</t>
  </si>
  <si>
    <t xml:space="preserve">8424.10-0000</t>
  </si>
  <si>
    <t xml:space="preserve">8424.90-9000</t>
  </si>
  <si>
    <t xml:space="preserve">8471.50-9000</t>
  </si>
  <si>
    <t xml:space="preserve">8486.90-3020</t>
  </si>
  <si>
    <t xml:space="preserve">8537.10-9000</t>
  </si>
  <si>
    <t xml:space="preserve">2710.12-4000</t>
  </si>
  <si>
    <t xml:space="preserve">2710.12-3000</t>
  </si>
  <si>
    <t xml:space="preserve">2710.12-9000</t>
  </si>
  <si>
    <t xml:space="preserve">2006.00-9000</t>
  </si>
  <si>
    <t xml:space="preserve">2008.99-9000</t>
  </si>
  <si>
    <t xml:space="preserve">2106.90-9099</t>
  </si>
  <si>
    <t xml:space="preserve">용도/기능 오인</t>
  </si>
  <si>
    <t xml:space="preserve">‘설탕으로 보존처리한 과실’에서도 “과실을 설탕시럽에 넣어 설탕이 충분히 스며들도록 비등점까지 가열하여 당 농도가 증가하도록 보존처리한 것일 것”을 제2006호에 분류하며, “삼투탈수 방식으로 보존처리한 경우에는 제2008호에 분류한다.”라고 규정하면서 제2006호에는 시럽에 넣어 끓이는 방식을 명시</t>
  </si>
  <si>
    <t xml:space="preserve">8424.20-0000</t>
  </si>
  <si>
    <t xml:space="preserve">8543.70-2020</t>
  </si>
  <si>
    <t xml:space="preserve">8424.89-9090</t>
  </si>
  <si>
    <t xml:space="preserve">판단 어려움.</t>
  </si>
  <si>
    <t xml:space="preserve">9002.19-9000</t>
  </si>
  <si>
    <t xml:space="preserve">9031.90-9000</t>
  </si>
  <si>
    <t xml:space="preserve">9002.11-0000</t>
  </si>
  <si>
    <t xml:space="preserve">3005.10-9000</t>
  </si>
  <si>
    <t xml:space="preserve">3005.10-1000</t>
  </si>
  <si>
    <t xml:space="preserve">3004.90-9900</t>
  </si>
  <si>
    <t xml:space="preserve">성분이 살리실산이라는 점에만 주목할 경우 발생할 수 있는 후보</t>
  </si>
  <si>
    <t xml:space="preserve">3822.19-9000</t>
  </si>
  <si>
    <t xml:space="preserve">3822.19-1000</t>
  </si>
  <si>
    <t xml:space="preserve">3002.49-9000</t>
  </si>
  <si>
    <t xml:space="preserve">물품설명 정보 부족</t>
  </si>
  <si>
    <t xml:space="preserve">수입 시점의 정확한 성분 비율, 제조 공정, 공인된 기준물질(CRM) 인증서 유무 등에 따라 달라질 수 있으므로, 정확한 수입통관</t>
  </si>
  <si>
    <t xml:space="preserve">3808.94-0000</t>
  </si>
  <si>
    <t xml:space="preserve">2905.39-9000</t>
  </si>
  <si>
    <t xml:space="preserve">물품설명과 같이 조제되어 화장품 등의 보존제로 사용되는 물품이므로 “살균제·소독제와 유사한 물품”으로 보아</t>
  </si>
  <si>
    <t xml:space="preserve">9503.00-3200</t>
  </si>
  <si>
    <t xml:space="preserve"> 8205.51-0000</t>
  </si>
  <si>
    <t xml:space="preserve">동물이나 인간이 아닌 창조물을 형상화한 완구</t>
  </si>
  <si>
    <t xml:space="preserve">3918.10-9000</t>
  </si>
  <si>
    <t xml:space="preserve">3918.90-9000</t>
  </si>
  <si>
    <t xml:space="preserve">9506.91-0000</t>
  </si>
  <si>
    <r>
      <rPr>
        <sz val="10"/>
        <rFont val="Arial"/>
        <family val="2"/>
        <charset val="1"/>
      </rPr>
      <t xml:space="preserve">HS 6</t>
    </r>
    <r>
      <rPr>
        <sz val="10"/>
        <rFont val="Noto Sans CJK SC"/>
        <family val="2"/>
      </rPr>
      <t xml:space="preserve">단위 소호 분류 시</t>
    </r>
    <r>
      <rPr>
        <sz val="10"/>
        <rFont val="Arial"/>
        <family val="2"/>
        <charset val="1"/>
      </rPr>
      <t xml:space="preserve">, </t>
    </r>
    <r>
      <rPr>
        <sz val="10"/>
        <rFont val="Noto Sans CJK SC"/>
        <family val="2"/>
      </rPr>
      <t xml:space="preserve">구성 재료의 역할 면에서 </t>
    </r>
    <r>
      <rPr>
        <sz val="10"/>
        <rFont val="Arial"/>
        <family val="2"/>
        <charset val="1"/>
      </rPr>
      <t xml:space="preserve">PVC</t>
    </r>
    <r>
      <rPr>
        <sz val="10"/>
        <rFont val="Noto Sans CJK SC"/>
        <family val="2"/>
      </rPr>
      <t xml:space="preserve">가 충격 흡수에 우수하고</t>
    </r>
    <r>
      <rPr>
        <sz val="10"/>
        <rFont val="Arial"/>
        <family val="2"/>
        <charset val="1"/>
      </rPr>
      <t xml:space="preserve">, </t>
    </r>
    <r>
      <rPr>
        <sz val="10"/>
        <rFont val="Noto Sans CJK SC"/>
        <family val="2"/>
      </rPr>
      <t xml:space="preserve">일반적으로 바닥에 깔고 사용하는 바닥 깔개는 신체와 접촉하는 노출 표면이 중요하게 여겨지며</t>
    </r>
    <r>
      <rPr>
        <sz val="10"/>
        <rFont val="Arial"/>
        <family val="2"/>
        <charset val="1"/>
      </rPr>
      <t xml:space="preserve">, </t>
    </r>
    <r>
      <rPr>
        <sz val="10"/>
        <rFont val="Noto Sans CJK SC"/>
        <family val="2"/>
      </rPr>
      <t xml:space="preserve">또한 구성 재료의 가격</t>
    </r>
    <r>
      <rPr>
        <sz val="10"/>
        <rFont val="Arial"/>
        <family val="2"/>
        <charset val="1"/>
      </rPr>
      <t xml:space="preserve">, </t>
    </r>
    <r>
      <rPr>
        <sz val="10"/>
        <rFont val="Noto Sans CJK SC"/>
        <family val="2"/>
      </rPr>
      <t xml:space="preserve">중량 측면에서 </t>
    </r>
    <r>
      <rPr>
        <sz val="10"/>
        <rFont val="Arial"/>
        <family val="2"/>
        <charset val="1"/>
      </rPr>
      <t xml:space="preserve">PE</t>
    </r>
    <r>
      <rPr>
        <sz val="10"/>
        <rFont val="Noto Sans CJK SC"/>
        <family val="2"/>
      </rPr>
      <t xml:space="preserve">보다 </t>
    </r>
    <r>
      <rPr>
        <sz val="10"/>
        <rFont val="Arial"/>
        <family val="2"/>
        <charset val="1"/>
      </rPr>
      <t xml:space="preserve">PVC</t>
    </r>
    <r>
      <rPr>
        <sz val="10"/>
        <rFont val="Noto Sans CJK SC"/>
        <family val="2"/>
      </rPr>
      <t xml:space="preserve">가 더 큰 비중을 차지함
‧ 더구나</t>
    </r>
    <r>
      <rPr>
        <sz val="10"/>
        <rFont val="Arial"/>
        <family val="2"/>
        <charset val="1"/>
      </rPr>
      <t xml:space="preserve">, </t>
    </r>
    <r>
      <rPr>
        <sz val="10"/>
        <rFont val="Noto Sans CJK SC"/>
        <family val="2"/>
      </rPr>
      <t xml:space="preserve">일반적으로 바닥 깔개의 충진재</t>
    </r>
    <r>
      <rPr>
        <sz val="10"/>
        <rFont val="Arial"/>
        <family val="2"/>
        <charset val="1"/>
      </rPr>
      <t xml:space="preserve">(</t>
    </r>
    <r>
      <rPr>
        <sz val="10"/>
        <rFont val="Noto Sans CJK SC"/>
        <family val="2"/>
      </rPr>
      <t xml:space="preserve">바닥재</t>
    </r>
    <r>
      <rPr>
        <sz val="10"/>
        <rFont val="Arial"/>
        <family val="2"/>
        <charset val="1"/>
      </rPr>
      <t xml:space="preserve">)</t>
    </r>
    <r>
      <rPr>
        <sz val="10"/>
        <rFont val="Noto Sans CJK SC"/>
        <family val="2"/>
      </rPr>
      <t xml:space="preserve">는 주로 물품의 형태 유지나 보강의 목적으로 사용하는 경우가 많음
‧ 즉</t>
    </r>
    <r>
      <rPr>
        <sz val="10"/>
        <rFont val="Arial"/>
        <family val="2"/>
        <charset val="1"/>
      </rPr>
      <t xml:space="preserve">, </t>
    </r>
    <r>
      <rPr>
        <sz val="10"/>
        <rFont val="Noto Sans CJK SC"/>
        <family val="2"/>
      </rPr>
      <t xml:space="preserve">바닥 깔개의 본질적인 특성은 구성 재료의 역할</t>
    </r>
    <r>
      <rPr>
        <sz val="10"/>
        <rFont val="Arial"/>
        <family val="2"/>
        <charset val="1"/>
      </rPr>
      <t xml:space="preserve">, </t>
    </r>
    <r>
      <rPr>
        <sz val="10"/>
        <rFont val="Noto Sans CJK SC"/>
        <family val="2"/>
      </rPr>
      <t xml:space="preserve">가격</t>
    </r>
    <r>
      <rPr>
        <sz val="10"/>
        <rFont val="Arial"/>
        <family val="2"/>
        <charset val="1"/>
      </rPr>
      <t xml:space="preserve">, </t>
    </r>
    <r>
      <rPr>
        <sz val="10"/>
        <rFont val="Noto Sans CJK SC"/>
        <family val="2"/>
      </rPr>
      <t xml:space="preserve">중량에 따라 </t>
    </r>
    <r>
      <rPr>
        <sz val="10"/>
        <rFont val="Arial"/>
        <family val="2"/>
        <charset val="1"/>
      </rPr>
      <t xml:space="preserve">PVC </t>
    </r>
    <r>
      <rPr>
        <sz val="10"/>
        <rFont val="Noto Sans CJK SC"/>
        <family val="2"/>
      </rPr>
      <t xml:space="preserve">노출 표면에 있는 것으로 판단됨
</t>
    </r>
    <r>
      <rPr>
        <sz val="10"/>
        <rFont val="Arial"/>
        <family val="2"/>
        <charset val="1"/>
      </rPr>
      <t xml:space="preserve">- </t>
    </r>
    <r>
      <rPr>
        <sz val="10"/>
        <rFont val="Noto Sans CJK SC"/>
        <family val="2"/>
      </rPr>
      <t xml:space="preserve">따라서 본 물품을 ‘폴리염화비닐로 만든 바닥깔개’로 보아</t>
    </r>
  </si>
  <si>
    <t xml:space="preserve">8418.40-1000</t>
  </si>
  <si>
    <t xml:space="preserve"> 8418.21-9010</t>
  </si>
  <si>
    <t xml:space="preserve">8418.21-9090</t>
  </si>
  <si>
    <t xml:space="preserve">8412.31-0000</t>
  </si>
  <si>
    <t xml:space="preserve">9401.99-9000</t>
  </si>
  <si>
    <t xml:space="preserve">7320.90-9000</t>
  </si>
  <si>
    <t xml:space="preserve">모델은 물품의 '기계적 작동 원리(가스 압력)'만을 지나치게 강조하여 제8412호를 1순위로 잘못 판정</t>
  </si>
  <si>
    <t xml:space="preserve">3907.29.9000</t>
  </si>
  <si>
    <t xml:space="preserve">3824.40.0000</t>
  </si>
  <si>
    <t xml:space="preserve">3906.90.9000</t>
  </si>
  <si>
    <t xml:space="preserve">공중합체는 단량체 중 최대 중량을 차지하는 성분의 호로 분류해야 합니다.
정답(3907.29-1090): 제시된 물품은 VPEG(폴리옥시에틸렌계)가 88.5%로 최대 중량을 차지하므로, 관세평가분류원은 이를 명확히 '폴리옥시에틸렌과 그 공중합체'가 특게(특정하여 열거)되어 있는 -1090 코드로 분류</t>
  </si>
  <si>
    <t xml:space="preserve">6403.99-9090</t>
  </si>
  <si>
    <t xml:space="preserve"> 6403.99-9090</t>
  </si>
  <si>
    <t xml:space="preserve">6403.99-1000</t>
  </si>
  <si>
    <t xml:space="preserve">6403.91-9090</t>
  </si>
  <si>
    <t xml:space="preserve">존재하지 않는 코드 생성</t>
  </si>
  <si>
    <t xml:space="preserve">관세율표에 실존하지 않는 코드(6403.99-9090)를 임의로 생성함.</t>
  </si>
  <si>
    <t xml:space="preserve">8302.50-0000</t>
  </si>
  <si>
    <t xml:space="preserve">8302.42-0000</t>
  </si>
  <si>
    <t xml:space="preserve">8529.90-9090</t>
  </si>
  <si>
    <t xml:space="preserve">복합재질 주된재질 판단 실패</t>
  </si>
  <si>
    <r>
      <rPr>
        <sz val="10"/>
        <rFont val="Arial"/>
        <family val="2"/>
        <charset val="1"/>
      </rPr>
      <t xml:space="preserve">, </t>
    </r>
    <r>
      <rPr>
        <sz val="10"/>
        <rFont val="Noto Sans CJK SC"/>
        <family val="2"/>
      </rPr>
      <t xml:space="preserve">모델이 물품의 혼합 재질 상태를 인지했음에도 불구하고 복합재질 물품의 중량 경합 해결 원칙</t>
    </r>
    <r>
      <rPr>
        <sz val="10"/>
        <rFont val="Arial"/>
        <family val="2"/>
        <charset val="1"/>
      </rPr>
      <t xml:space="preserve">(</t>
    </r>
    <r>
      <rPr>
        <sz val="10"/>
        <rFont val="Noto Sans CJK SC"/>
        <family val="2"/>
      </rPr>
      <t xml:space="preserve">통칙 </t>
    </r>
    <r>
      <rPr>
        <sz val="10"/>
        <rFont val="Arial"/>
        <family val="2"/>
        <charset val="1"/>
      </rPr>
      <t xml:space="preserve">3</t>
    </r>
    <r>
      <rPr>
        <sz val="10"/>
        <rFont val="Noto Sans CJK SC"/>
        <family val="2"/>
      </rPr>
      <t xml:space="preserve">호 다목</t>
    </r>
    <r>
      <rPr>
        <sz val="10"/>
        <rFont val="Arial"/>
        <family val="2"/>
        <charset val="1"/>
      </rPr>
      <t xml:space="preserve">)</t>
    </r>
    <r>
      <rPr>
        <sz val="10"/>
        <rFont val="Noto Sans CJK SC"/>
        <family val="2"/>
      </rPr>
      <t xml:space="preserve">을 적용하는 데 실패하고 포괄적인 용도</t>
    </r>
    <r>
      <rPr>
        <sz val="10"/>
        <rFont val="Arial"/>
        <family val="2"/>
        <charset val="1"/>
      </rPr>
      <t xml:space="preserve">(</t>
    </r>
    <r>
      <rPr>
        <sz val="10"/>
        <rFont val="Noto Sans CJK SC"/>
        <family val="2"/>
      </rPr>
      <t xml:space="preserve">브래킷</t>
    </r>
    <r>
      <rPr>
        <sz val="10"/>
        <rFont val="Arial"/>
        <family val="2"/>
        <charset val="1"/>
      </rPr>
      <t xml:space="preserve">) </t>
    </r>
    <r>
      <rPr>
        <sz val="10"/>
        <rFont val="Noto Sans CJK SC"/>
        <family val="2"/>
      </rPr>
      <t xml:space="preserve">단위로 도망쳤기 때문에</t>
    </r>
  </si>
  <si>
    <t xml:space="preserve"> 2106.90-9099</t>
  </si>
  <si>
    <t xml:space="preserve">2106.90-4090</t>
  </si>
  <si>
    <t xml:space="preserve">0409.00-0000</t>
  </si>
  <si>
    <t xml:space="preserve">통칙 제2호 나목에 따른 '본질적 특성(꿀)' 유지 여부를 먼저 따져야 함에도 불구하고, 모델은 "다른 성분이 조금이라도 들어가면 무조건 가공식품(2106호)으로 빠진다"고 단정</t>
  </si>
  <si>
    <t xml:space="preserve"> 8409.99-3030</t>
  </si>
  <si>
    <t xml:space="preserve">8409.99-9090</t>
  </si>
  <si>
    <t xml:space="preserve">8483.90-1090</t>
  </si>
  <si>
    <t xml:space="preserve">해설서 규정의 자의적 오해석: 오답 모델의 1순위 근거를 보면 "해설서 규정에 따라 엔진 부품으로 사용되는 캠은 제8483호에서 제외되어 제8409호로 간주된다"고 주장합니다. 이는 관세율표 해설서를 완전히 잘못 해석한 환각(Hallucination) 오류입니다.
우선순위(경합) 원칙 위반: 모델은 해당 물품이 '엔진에 들어간다'는 최종 용도에만 매몰되었습니다. 두 개의 호(8409호 vs 8483호)가 경합할 때 특정 부품의 호(8483)를 기계 전체의 부품 호(8409)보다 우선해야 한다는 법적 우선순위 규칙을 정면으로 위반하고 제8409호를 선택했습니다.</t>
  </si>
  <si>
    <t xml:space="preserve">6306.12-0000</t>
  </si>
  <si>
    <t xml:space="preserve"> 6307.90-9000</t>
  </si>
  <si>
    <t xml:space="preserve">모델은 "폭 5mm 이하의 PE 스트립은 방직용 섬유로 본다"는 원재료의 초기 속성과 "화물 보호용 덮개로 쓰인다"는 표면적인 용도에만 과도하게 집중했습니다. 결과적으로 양면 도포 시 방직용 섬유에서 원천 배제된다는 관세율표의 강력한 법적 지침을 무시하고 제6306호를 1순위로 잘못 판정</t>
  </si>
  <si>
    <t xml:space="preserve">8544.42-2090</t>
  </si>
  <si>
    <t xml:space="preserve">8544.42-9090</t>
  </si>
  <si>
    <t xml:space="preserve">8473.30-9090
8543.90-9090</t>
  </si>
  <si>
    <r>
      <rPr>
        <sz val="10"/>
        <rFont val="Arial"/>
        <family val="2"/>
        <charset val="1"/>
      </rPr>
      <t xml:space="preserve">=IF(</t>
    </r>
    <r>
      <rPr>
        <sz val="10"/>
        <rFont val="Noto Sans CJK SC"/>
        <family val="2"/>
      </rPr>
      <t xml:space="preserve">케이스목록</t>
    </r>
    <r>
      <rPr>
        <sz val="10"/>
        <rFont val="Arial"/>
        <family val="2"/>
        <charset val="1"/>
      </rPr>
      <t xml:space="preserve">!$D33="","",</t>
    </r>
    <r>
      <rPr>
        <sz val="10"/>
        <rFont val="Noto Sans CJK SC"/>
        <family val="2"/>
      </rPr>
      <t xml:space="preserve">케이스목록</t>
    </r>
    <r>
      <rPr>
        <sz val="10"/>
        <rFont val="Arial"/>
        <family val="2"/>
        <charset val="1"/>
      </rPr>
      <t xml:space="preserve">!$D33)</t>
    </r>
  </si>
  <si>
    <t xml:space="preserve">1602.32-1000</t>
  </si>
  <si>
    <t xml:space="preserve">1602.32-9000</t>
  </si>
  <si>
    <t xml:space="preserve"> 2103.90-9090</t>
  </si>
  <si>
    <t xml:space="preserve">물품 설명에 기재된 '파우치 팩에 소매포장'이라는 문구를 보고, 이를 자의적으로 '레토르트 파우치 = 기밀용기(Airtight container)'라고 단정 지어 1602.32-1000을 1순위로 제시했습니다.
그러나 관세율표에서 인정하는 '기밀용기'는 외부 공기와 미생물의 침입을 완벽히 차단하여 장기 보존이 가능한 특수 요건을 매우 엄격하게 충족해야 합니다. 관세청(정답)은 해당 파우치 포장이 관세율표상 기밀용기의 법적 요건을 충족하지 않는 일반 포장이라고 판단하여 기타(-9000)로 분류</t>
  </si>
  <si>
    <t xml:space="preserve">6203.32-0000</t>
  </si>
  <si>
    <t xml:space="preserve">6205.20-0000</t>
  </si>
  <si>
    <t xml:space="preserve">6201.40-0000</t>
  </si>
  <si>
    <r>
      <rPr>
        <sz val="10"/>
        <rFont val="Arial"/>
        <family val="2"/>
        <charset val="1"/>
      </rPr>
      <t xml:space="preserve">AI </t>
    </r>
    <r>
      <rPr>
        <sz val="10"/>
        <rFont val="Noto Sans CJK SC"/>
        <family val="2"/>
      </rPr>
      <t xml:space="preserve">모델은 물품 설명에 기재된 </t>
    </r>
    <r>
      <rPr>
        <sz val="10"/>
        <rFont val="Arial"/>
        <family val="2"/>
        <charset val="1"/>
      </rPr>
      <t xml:space="preserve">'4</t>
    </r>
    <r>
      <rPr>
        <sz val="10"/>
        <rFont val="Noto Sans CJK SC"/>
        <family val="2"/>
      </rPr>
      <t xml:space="preserve">개의 세로 방향 패널</t>
    </r>
    <r>
      <rPr>
        <sz val="10"/>
        <rFont val="Arial"/>
        <family val="2"/>
        <charset val="1"/>
      </rPr>
      <t xml:space="preserve">'</t>
    </r>
    <r>
      <rPr>
        <sz val="10"/>
        <rFont val="Noto Sans CJK SC"/>
        <family val="2"/>
      </rPr>
      <t xml:space="preserve">이라는 구조적 요건에만 과도하게 매몰되었습니다</t>
    </r>
    <r>
      <rPr>
        <sz val="10"/>
        <rFont val="Arial"/>
        <family val="2"/>
        <charset val="1"/>
      </rPr>
      <t xml:space="preserve">. </t>
    </r>
    <r>
      <rPr>
        <sz val="10"/>
        <rFont val="Noto Sans CJK SC"/>
        <family val="2"/>
      </rPr>
      <t xml:space="preserve">세로 패널이 제</t>
    </r>
    <r>
      <rPr>
        <sz val="10"/>
        <rFont val="Arial"/>
        <family val="2"/>
        <charset val="1"/>
      </rPr>
      <t xml:space="preserve">6203</t>
    </r>
    <r>
      <rPr>
        <sz val="10"/>
        <rFont val="Noto Sans CJK SC"/>
        <family val="2"/>
      </rPr>
      <t xml:space="preserve">호 재킷을 판가름하는 중요 기준 중 하나인 것은 맞지만</t>
    </r>
    <r>
      <rPr>
        <sz val="10"/>
        <rFont val="Arial"/>
        <family val="2"/>
        <charset val="1"/>
      </rPr>
      <t xml:space="preserve">, </t>
    </r>
    <r>
      <rPr>
        <sz val="10"/>
        <rFont val="Noto Sans CJK SC"/>
        <family val="2"/>
      </rPr>
      <t xml:space="preserve">이 옷이 셔츠의 특징</t>
    </r>
    <r>
      <rPr>
        <sz val="10"/>
        <rFont val="Arial"/>
        <family val="2"/>
        <charset val="1"/>
      </rPr>
      <t xml:space="preserve">(</t>
    </r>
    <r>
      <rPr>
        <sz val="10"/>
        <rFont val="Noto Sans CJK SC"/>
        <family val="2"/>
      </rPr>
      <t xml:space="preserve">칼라</t>
    </r>
    <r>
      <rPr>
        <sz val="10"/>
        <rFont val="Arial"/>
        <family val="2"/>
        <charset val="1"/>
      </rPr>
      <t xml:space="preserve">, </t>
    </r>
    <r>
      <rPr>
        <sz val="10"/>
        <rFont val="Noto Sans CJK SC"/>
        <family val="2"/>
      </rPr>
      <t xml:space="preserve">조임단 없음 등</t>
    </r>
    <r>
      <rPr>
        <sz val="10"/>
        <rFont val="Arial"/>
        <family val="2"/>
        <charset val="1"/>
      </rPr>
      <t xml:space="preserve">) </t>
    </r>
    <r>
      <rPr>
        <sz val="10"/>
        <rFont val="Noto Sans CJK SC"/>
        <family val="2"/>
      </rPr>
      <t xml:space="preserve">또한 완벽히 만족하고 있다는 사실을 간과했습니다</t>
    </r>
    <r>
      <rPr>
        <sz val="10"/>
        <rFont val="Arial"/>
        <family val="2"/>
        <charset val="1"/>
      </rPr>
      <t xml:space="preserve">.
</t>
    </r>
    <r>
      <rPr>
        <sz val="10"/>
        <rFont val="Noto Sans CJK SC"/>
        <family val="2"/>
      </rPr>
      <t xml:space="preserve">결과적으로 모델은 본질적 특성을 가릴 수 없을 때 반드시 거쳐야 하는 법적인 타이드 브레이커</t>
    </r>
    <r>
      <rPr>
        <sz val="10"/>
        <rFont val="Arial"/>
        <family val="2"/>
        <charset val="1"/>
      </rPr>
      <t xml:space="preserve">(Tie-breaker)</t>
    </r>
    <r>
      <rPr>
        <sz val="10"/>
        <rFont val="Noto Sans CJK SC"/>
        <family val="2"/>
      </rPr>
      <t xml:space="preserve">인 </t>
    </r>
    <r>
      <rPr>
        <sz val="10"/>
        <rFont val="Arial"/>
        <family val="2"/>
        <charset val="1"/>
      </rPr>
      <t xml:space="preserve">'</t>
    </r>
    <r>
      <rPr>
        <sz val="10"/>
        <rFont val="Noto Sans CJK SC"/>
        <family val="2"/>
      </rPr>
      <t xml:space="preserve">통칙 </t>
    </r>
    <r>
      <rPr>
        <sz val="10"/>
        <rFont val="Arial"/>
        <family val="2"/>
        <charset val="1"/>
      </rPr>
      <t xml:space="preserve">3</t>
    </r>
    <r>
      <rPr>
        <sz val="10"/>
        <rFont val="Noto Sans CJK SC"/>
        <family val="2"/>
      </rPr>
      <t xml:space="preserve">호 다목</t>
    </r>
    <r>
      <rPr>
        <sz val="10"/>
        <rFont val="Arial"/>
        <family val="2"/>
        <charset val="1"/>
      </rPr>
      <t xml:space="preserve">'</t>
    </r>
    <r>
      <rPr>
        <sz val="10"/>
        <rFont val="Noto Sans CJK SC"/>
        <family val="2"/>
      </rPr>
      <t xml:space="preserve">의 존재를 잊어버리고</t>
    </r>
    <r>
      <rPr>
        <sz val="10"/>
        <rFont val="Arial"/>
        <family val="2"/>
        <charset val="1"/>
      </rPr>
      <t xml:space="preserve">, </t>
    </r>
    <r>
      <rPr>
        <sz val="10"/>
        <rFont val="Noto Sans CJK SC"/>
        <family val="2"/>
      </rPr>
      <t xml:space="preserve">자의적으로 재킷의 요건에만 높은 가중치를 부여하여 제</t>
    </r>
    <r>
      <rPr>
        <sz val="10"/>
        <rFont val="Arial"/>
        <family val="2"/>
        <charset val="1"/>
      </rPr>
      <t xml:space="preserve">6203</t>
    </r>
    <r>
      <rPr>
        <sz val="10"/>
        <rFont val="Noto Sans CJK SC"/>
        <family val="2"/>
      </rPr>
      <t xml:space="preserve">호로 잘못 분류하는 오류를 범했습니다</t>
    </r>
    <r>
      <rPr>
        <sz val="10"/>
        <rFont val="Arial"/>
        <family val="2"/>
        <charset val="1"/>
      </rPr>
      <t xml:space="preserve">.</t>
    </r>
  </si>
  <si>
    <t xml:space="preserve">오답유형 판정: 1~20번 수기, 21~30번 AI 자동판정(모델명:제미나이 프로, 검색 ON)</t>
  </si>
  <si>
    <t xml:space="preserve">조건 B — 품명 원문만 입력 (실무에 실제로 도착하는 입력)</t>
  </si>
  <si>
    <t xml:space="preserve">정답률보다 '정보가 부족한데도 확신에 차서 답하는가'가 핵심 관찰 대상입니다. P1만 측정.</t>
  </si>
  <si>
    <t xml:space="preserve">품명 원문 (연결)</t>
  </si>
  <si>
    <r>
      <rPr>
        <b val="true"/>
        <sz val="10"/>
        <color rgb="FFFFFFFF"/>
        <rFont val="Arial"/>
        <family val="2"/>
        <charset val="1"/>
      </rPr>
      <t xml:space="preserve">4</t>
    </r>
    <r>
      <rPr>
        <b val="true"/>
        <sz val="10"/>
        <color rgb="FFFFFFFF"/>
        <rFont val="Noto Sans CJK SC"/>
        <family val="2"/>
      </rPr>
      <t xml:space="preserve">자리</t>
    </r>
  </si>
  <si>
    <r>
      <rPr>
        <b val="true"/>
        <sz val="10"/>
        <color rgb="FFFFFFFF"/>
        <rFont val="Arial"/>
        <family val="2"/>
        <charset val="1"/>
      </rPr>
      <t xml:space="preserve">6</t>
    </r>
    <r>
      <rPr>
        <b val="true"/>
        <sz val="10"/>
        <color rgb="FFFFFFFF"/>
        <rFont val="Noto Sans CJK SC"/>
        <family val="2"/>
      </rPr>
      <t xml:space="preserve">자리</t>
    </r>
  </si>
  <si>
    <r>
      <rPr>
        <b val="true"/>
        <sz val="10"/>
        <color rgb="FFFFFFFF"/>
        <rFont val="Arial"/>
        <family val="2"/>
        <charset val="1"/>
      </rPr>
      <t xml:space="preserve">10</t>
    </r>
    <r>
      <rPr>
        <b val="true"/>
        <sz val="10"/>
        <color rgb="FFFFFFFF"/>
        <rFont val="Noto Sans CJK SC"/>
        <family val="2"/>
      </rPr>
      <t xml:space="preserve">자리</t>
    </r>
  </si>
  <si>
    <t xml:space="preserve">정보부족
언급</t>
  </si>
  <si>
    <t xml:space="preserve">되묻기
질문 수</t>
  </si>
  <si>
    <t xml:space="preserve">모델이 요구한 정보 (되묻기 설계 근거)</t>
  </si>
  <si>
    <t xml:space="preserve">메모</t>
  </si>
  <si>
    <r>
      <rPr>
        <sz val="10"/>
        <rFont val="Arial"/>
        <family val="2"/>
        <charset val="1"/>
      </rPr>
      <t xml:space="preserve">(</t>
    </r>
    <r>
      <rPr>
        <sz val="10"/>
        <rFont val="Noto Sans CJK SC"/>
        <family val="2"/>
      </rPr>
      <t xml:space="preserve">없음</t>
    </r>
    <r>
      <rPr>
        <sz val="10"/>
        <rFont val="Arial"/>
        <family val="2"/>
        <charset val="1"/>
      </rPr>
      <t xml:space="preserve">)</t>
    </r>
  </si>
  <si>
    <t xml:space="preserve">용매 종류(수성/비수성), 결합제 성분(에폭시·실리콘 등 합성중합체 여부)</t>
  </si>
  <si>
    <r>
      <rPr>
        <sz val="10"/>
        <rFont val="Arial"/>
        <family val="2"/>
        <charset val="1"/>
      </rPr>
      <t xml:space="preserve">Grey Primer</t>
    </r>
    <r>
      <rPr>
        <sz val="10"/>
        <rFont val="Noto Sans CJK SC"/>
        <family val="2"/>
      </rPr>
      <t xml:space="preserve">라는 단어에 끌려 페인트류로 단정</t>
    </r>
    <r>
      <rPr>
        <sz val="10"/>
        <rFont val="Arial"/>
        <family val="2"/>
        <charset val="1"/>
      </rPr>
      <t xml:space="preserve">. </t>
    </r>
    <r>
      <rPr>
        <sz val="10"/>
        <rFont val="Noto Sans CJK SC"/>
        <family val="2"/>
      </rPr>
      <t xml:space="preserve">무기물 기반 세라믹 코팅제라는 점을 놓침</t>
    </r>
  </si>
  <si>
    <r>
      <rPr>
        <sz val="10"/>
        <rFont val="Arial"/>
        <family val="2"/>
        <charset val="1"/>
      </rPr>
      <t xml:space="preserve">(</t>
    </r>
    <r>
      <rPr>
        <sz val="10"/>
        <rFont val="Noto Sans CJK SC"/>
        <family val="2"/>
      </rPr>
      <t xml:space="preserve">집계 제외 — 호 문언 누출로 무효</t>
    </r>
    <r>
      <rPr>
        <sz val="10"/>
        <rFont val="Arial"/>
        <family val="2"/>
        <charset val="1"/>
      </rPr>
      <t xml:space="preserve">)</t>
    </r>
  </si>
  <si>
    <t xml:space="preserve">품명만으로 카드게임으로 정확히 판단. 조건A보다 나은 결과</t>
  </si>
  <si>
    <t xml:space="preserve">조건A와 동일한 오답. 정보를 줘도 결과가 바뀌지 않음</t>
  </si>
  <si>
    <t xml:space="preserve">3917.39-0000</t>
  </si>
  <si>
    <t xml:space="preserve">3923.90-2000</t>
  </si>
  <si>
    <t xml:space="preserve">3909.50.0000</t>
  </si>
  <si>
    <t xml:space="preserve">8471.50-1000</t>
  </si>
  <si>
    <t xml:space="preserve">2707.50-0000</t>
  </si>
  <si>
    <t xml:space="preserve">2008.99-9090</t>
  </si>
  <si>
    <t xml:space="preserve">8509.80-9000</t>
  </si>
  <si>
    <t xml:space="preserve">3005.10-0000</t>
  </si>
  <si>
    <t xml:space="preserve">3002.41-0000</t>
  </si>
  <si>
    <t xml:space="preserve">8205.51.0000</t>
  </si>
  <si>
    <t xml:space="preserve">3918.10.1000</t>
  </si>
  <si>
    <t xml:space="preserve">8418.40-2000</t>
  </si>
  <si>
    <t xml:space="preserve">8412.31-1090</t>
  </si>
  <si>
    <t xml:space="preserve">3920.61.0000</t>
  </si>
  <si>
    <t xml:space="preserve">8302.50-0000 </t>
  </si>
  <si>
    <t xml:space="preserve">6306.12.0000
</t>
  </si>
  <si>
    <t xml:space="preserve">6201.40.9000</t>
  </si>
  <si>
    <t xml:space="preserve">일관성 측정 — 같은 질문을 새 채팅에서 3번 (조건 A 기준)</t>
  </si>
  <si>
    <r>
      <rPr>
        <i val="true"/>
        <sz val="9"/>
        <color rgb="FF666666"/>
        <rFont val="Arial"/>
        <family val="2"/>
        <charset val="1"/>
      </rPr>
      <t xml:space="preserve">30</t>
    </r>
    <r>
      <rPr>
        <i val="true"/>
        <sz val="9"/>
        <color rgb="FF666666"/>
        <rFont val="Noto Sans CJK SC"/>
        <family val="2"/>
      </rPr>
      <t xml:space="preserve">건 중 </t>
    </r>
    <r>
      <rPr>
        <i val="true"/>
        <sz val="9"/>
        <color rgb="FF666666"/>
        <rFont val="Arial"/>
        <family val="2"/>
        <charset val="1"/>
      </rPr>
      <t xml:space="preserve">10</t>
    </r>
    <r>
      <rPr>
        <i val="true"/>
        <sz val="9"/>
        <color rgb="FF666666"/>
        <rFont val="Noto Sans CJK SC"/>
        <family val="2"/>
      </rPr>
      <t xml:space="preserve">건</t>
    </r>
    <r>
      <rPr>
        <i val="true"/>
        <sz val="9"/>
        <color rgb="FF666666"/>
        <rFont val="Arial"/>
        <family val="2"/>
        <charset val="1"/>
      </rPr>
      <t xml:space="preserve">. </t>
    </r>
    <r>
      <rPr>
        <i val="true"/>
        <sz val="9"/>
        <color rgb="FF666666"/>
        <rFont val="Noto Sans CJK SC"/>
        <family val="2"/>
      </rPr>
      <t xml:space="preserve">정확도가 높아도 답이 매번 바뀌면 실무에서 못 씁니다</t>
    </r>
    <r>
      <rPr>
        <i val="true"/>
        <sz val="9"/>
        <color rgb="FF666666"/>
        <rFont val="Arial"/>
        <family val="2"/>
        <charset val="1"/>
      </rPr>
      <t xml:space="preserve">. </t>
    </r>
    <r>
      <rPr>
        <i val="true"/>
        <sz val="9"/>
        <color rgb="FF666666"/>
        <rFont val="Noto Sans CJK SC"/>
        <family val="2"/>
      </rPr>
      <t xml:space="preserve">판정은 </t>
    </r>
    <r>
      <rPr>
        <i val="true"/>
        <sz val="9"/>
        <color rgb="FF666666"/>
        <rFont val="Arial"/>
        <family val="2"/>
        <charset val="1"/>
      </rPr>
      <t xml:space="preserve">6</t>
    </r>
    <r>
      <rPr>
        <i val="true"/>
        <sz val="9"/>
        <color rgb="FF666666"/>
        <rFont val="Noto Sans CJK SC"/>
        <family val="2"/>
      </rPr>
      <t xml:space="preserve">자리 기준</t>
    </r>
    <r>
      <rPr>
        <i val="true"/>
        <sz val="9"/>
        <color rgb="FF666666"/>
        <rFont val="Arial"/>
        <family val="2"/>
        <charset val="1"/>
      </rPr>
      <t xml:space="preserve">.</t>
    </r>
  </si>
  <si>
    <t xml:space="preserve">케이스 번호</t>
  </si>
  <si>
    <r>
      <rPr>
        <b val="true"/>
        <sz val="10"/>
        <color rgb="FFFFFFFF"/>
        <rFont val="Arial"/>
        <family val="2"/>
        <charset val="1"/>
      </rPr>
      <t xml:space="preserve">1</t>
    </r>
    <r>
      <rPr>
        <b val="true"/>
        <sz val="10"/>
        <color rgb="FFFFFFFF"/>
        <rFont val="Noto Sans CJK SC"/>
        <family val="2"/>
      </rPr>
      <t xml:space="preserve">회차</t>
    </r>
  </si>
  <si>
    <r>
      <rPr>
        <b val="true"/>
        <sz val="10"/>
        <color rgb="FFFFFFFF"/>
        <rFont val="Arial"/>
        <family val="2"/>
        <charset val="1"/>
      </rPr>
      <t xml:space="preserve">2</t>
    </r>
    <r>
      <rPr>
        <b val="true"/>
        <sz val="10"/>
        <color rgb="FFFFFFFF"/>
        <rFont val="Noto Sans CJK SC"/>
        <family val="2"/>
      </rPr>
      <t xml:space="preserve">회차</t>
    </r>
  </si>
  <si>
    <r>
      <rPr>
        <b val="true"/>
        <sz val="10"/>
        <color rgb="FFFFFFFF"/>
        <rFont val="Arial"/>
        <family val="2"/>
        <charset val="1"/>
      </rPr>
      <t xml:space="preserve">3</t>
    </r>
    <r>
      <rPr>
        <b val="true"/>
        <sz val="10"/>
        <color rgb="FFFFFFFF"/>
        <rFont val="Noto Sans CJK SC"/>
        <family val="2"/>
      </rPr>
      <t xml:space="preserve">회차</t>
    </r>
  </si>
  <si>
    <r>
      <rPr>
        <b val="true"/>
        <sz val="10"/>
        <color rgb="FFFFFFFF"/>
        <rFont val="Arial"/>
        <family val="0"/>
        <charset val="1"/>
      </rPr>
      <t xml:space="preserve">3</t>
    </r>
    <r>
      <rPr>
        <b val="true"/>
        <sz val="10"/>
        <color rgb="FFFFFFFF"/>
        <rFont val="Noto Sans CJK SC"/>
        <family val="2"/>
      </rPr>
      <t xml:space="preserve">회 서로
일치</t>
    </r>
    <r>
      <rPr>
        <b val="true"/>
        <sz val="10"/>
        <color rgb="FFFFFFFF"/>
        <rFont val="Arial"/>
        <family val="0"/>
        <charset val="1"/>
      </rPr>
      <t xml:space="preserve">(6</t>
    </r>
    <r>
      <rPr>
        <b val="true"/>
        <sz val="10"/>
        <color rgb="FFFFFFFF"/>
        <rFont val="Noto Sans CJK SC"/>
        <family val="2"/>
      </rPr>
      <t xml:space="preserve">자리</t>
    </r>
    <r>
      <rPr>
        <b val="true"/>
        <sz val="10"/>
        <color rgb="FFFFFFFF"/>
        <rFont val="Arial"/>
        <family val="0"/>
        <charset val="1"/>
      </rPr>
      <t xml:space="preserve">)</t>
    </r>
  </si>
  <si>
    <r>
      <rPr>
        <b val="true"/>
        <sz val="10"/>
        <color rgb="FFFFFFFF"/>
        <rFont val="Arial"/>
        <family val="0"/>
        <charset val="1"/>
      </rPr>
      <t xml:space="preserve">3</t>
    </r>
    <r>
      <rPr>
        <b val="true"/>
        <sz val="10"/>
        <color rgb="FFFFFFFF"/>
        <rFont val="Noto Sans CJK SC"/>
        <family val="2"/>
      </rPr>
      <t xml:space="preserve">회 서로
일치</t>
    </r>
    <r>
      <rPr>
        <b val="true"/>
        <sz val="10"/>
        <color rgb="FFFFFFFF"/>
        <rFont val="Arial"/>
        <family val="0"/>
        <charset val="1"/>
      </rPr>
      <t xml:space="preserve">(10</t>
    </r>
    <r>
      <rPr>
        <b val="true"/>
        <sz val="10"/>
        <color rgb="FFFFFFFF"/>
        <rFont val="Noto Sans CJK SC"/>
        <family val="2"/>
      </rPr>
      <t xml:space="preserve">자리</t>
    </r>
    <r>
      <rPr>
        <b val="true"/>
        <sz val="10"/>
        <color rgb="FFFFFFFF"/>
        <rFont val="Arial"/>
        <family val="0"/>
        <charset val="1"/>
      </rPr>
      <t xml:space="preserve">)</t>
    </r>
  </si>
  <si>
    <r>
      <rPr>
        <b val="true"/>
        <sz val="10"/>
        <color rgb="FFFFFFFF"/>
        <rFont val="Noto Sans CJK SC"/>
        <family val="2"/>
      </rPr>
      <t xml:space="preserve">정답일치
횟수</t>
    </r>
    <r>
      <rPr>
        <b val="true"/>
        <sz val="10"/>
        <color rgb="FFFFFFFF"/>
        <rFont val="Arial"/>
        <family val="0"/>
        <charset val="1"/>
      </rPr>
      <t xml:space="preserve">(6</t>
    </r>
    <r>
      <rPr>
        <b val="true"/>
        <sz val="10"/>
        <color rgb="FFFFFFFF"/>
        <rFont val="Noto Sans CJK SC"/>
        <family val="2"/>
      </rPr>
      <t xml:space="preserve">자리</t>
    </r>
    <r>
      <rPr>
        <b val="true"/>
        <sz val="10"/>
        <color rgb="FFFFFFFF"/>
        <rFont val="Arial"/>
        <family val="0"/>
        <charset val="1"/>
      </rPr>
      <t xml:space="preserve">)</t>
    </r>
  </si>
  <si>
    <r>
      <rPr>
        <b val="true"/>
        <sz val="10"/>
        <color rgb="FFFFFFFF"/>
        <rFont val="Noto Sans CJK SC"/>
        <family val="2"/>
      </rPr>
      <t xml:space="preserve">정답일치
횟수</t>
    </r>
    <r>
      <rPr>
        <b val="true"/>
        <sz val="10"/>
        <color rgb="FFFFFFFF"/>
        <rFont val="Arial"/>
        <family val="0"/>
        <charset val="1"/>
      </rPr>
      <t xml:space="preserve">(10</t>
    </r>
    <r>
      <rPr>
        <b val="true"/>
        <sz val="10"/>
        <color rgb="FFFFFFFF"/>
        <rFont val="Noto Sans CJK SC"/>
        <family val="2"/>
      </rPr>
      <t xml:space="preserve">자리</t>
    </r>
    <r>
      <rPr>
        <b val="true"/>
        <sz val="10"/>
        <color rgb="FFFFFFFF"/>
        <rFont val="Arial"/>
        <family val="0"/>
        <charset val="1"/>
      </rPr>
      <t xml:space="preserve">)</t>
    </r>
  </si>
  <si>
    <t xml:space="preserve">8544.42-2010</t>
  </si>
  <si>
    <t xml:space="preserve"> 8544.42-9090</t>
  </si>
  <si>
    <r>
      <rPr>
        <sz val="10"/>
        <rFont val="Arial"/>
        <family val="0"/>
        <charset val="1"/>
      </rPr>
      <t xml:space="preserve">3</t>
    </r>
    <r>
      <rPr>
        <sz val="10"/>
        <rFont val="Noto Sans CJK SC"/>
        <family val="2"/>
      </rPr>
      <t xml:space="preserve">회 회차별로 다 다른데 왜 정답과 일치횟수가 맞다고 나오는지 확인 필요</t>
    </r>
  </si>
  <si>
    <t xml:space="preserve">1602.32-9010</t>
  </si>
  <si>
    <t xml:space="preserve">1602.32-9019</t>
  </si>
  <si>
    <r>
      <rPr>
        <sz val="10"/>
        <rFont val="Arial"/>
        <family val="0"/>
        <charset val="1"/>
      </rPr>
      <t xml:space="preserve">2</t>
    </r>
    <r>
      <rPr>
        <sz val="10"/>
        <rFont val="Noto Sans CJK SC"/>
        <family val="2"/>
      </rPr>
      <t xml:space="preserve">회차 다른데 왜 정답과 일치횟수가 맞다고 나오는지 확인 필요</t>
    </r>
  </si>
  <si>
    <r>
      <rPr>
        <sz val="10"/>
        <rFont val="Arial"/>
        <family val="0"/>
        <charset val="1"/>
      </rPr>
      <t xml:space="preserve">3</t>
    </r>
    <r>
      <rPr>
        <sz val="10"/>
        <rFont val="Noto Sans CJK SC"/>
        <family val="2"/>
      </rPr>
      <t xml:space="preserve">회차 다 동일함</t>
    </r>
    <r>
      <rPr>
        <sz val="10"/>
        <rFont val="Arial"/>
        <family val="0"/>
        <charset val="1"/>
      </rPr>
      <t xml:space="preserve">.</t>
    </r>
  </si>
  <si>
    <t xml:space="preserve">2006.00-9010</t>
  </si>
  <si>
    <t xml:space="preserve">2008.99-5000</t>
  </si>
  <si>
    <t xml:space="preserve"> 3005.10-0000</t>
  </si>
  <si>
    <r>
      <rPr>
        <sz val="10"/>
        <rFont val="Arial"/>
        <family val="0"/>
        <charset val="1"/>
      </rPr>
      <t xml:space="preserve">3</t>
    </r>
    <r>
      <rPr>
        <sz val="10"/>
        <rFont val="Noto Sans CJK SC"/>
        <family val="2"/>
      </rPr>
      <t xml:space="preserve">회 회차별로 다 다른데 왜</t>
    </r>
    <r>
      <rPr>
        <sz val="10"/>
        <rFont val="Arial"/>
        <family val="0"/>
        <charset val="1"/>
      </rPr>
      <t xml:space="preserve">?</t>
    </r>
  </si>
  <si>
    <t xml:space="preserve">6403.99-9000</t>
  </si>
  <si>
    <t xml:space="preserve">측정조건 기록 — 재현 가능성의 근거</t>
  </si>
  <si>
    <t xml:space="preserve">면접에서 반드시 물어보는 항목입니다. 조건이 기록되지 않은 숫자는 근거가 되지 못합니다.</t>
  </si>
  <si>
    <t xml:space="preserve">항목</t>
  </si>
  <si>
    <t xml:space="preserve">값</t>
  </si>
  <si>
    <t xml:space="preserve">비고</t>
  </si>
  <si>
    <t xml:space="preserve">모델명 / 버전</t>
  </si>
  <si>
    <t xml:space="preserve">gemini-3.1-pro-preview</t>
  </si>
  <si>
    <t xml:space="preserve">정확한 버전 문자열로. 앱은 뒤에서 모델이 바뀔 수 있음</t>
  </si>
  <si>
    <t xml:space="preserve">측정 환경</t>
  </si>
  <si>
    <t xml:space="preserve">Google AI Studio Playground</t>
  </si>
  <si>
    <t xml:space="preserve">앱이 아닌 이유: Grounding 토글이 명시적으로 존재</t>
  </si>
  <si>
    <t xml:space="preserve">Temperature</t>
  </si>
  <si>
    <r>
      <rPr>
        <sz val="10"/>
        <rFont val="Arial"/>
        <family val="2"/>
        <charset val="1"/>
      </rPr>
      <t xml:space="preserve">1 (</t>
    </r>
    <r>
      <rPr>
        <sz val="10"/>
        <rFont val="Noto Sans CJK SC"/>
        <family val="2"/>
      </rPr>
      <t xml:space="preserve">기본값</t>
    </r>
    <r>
      <rPr>
        <sz val="10"/>
        <rFont val="Arial"/>
        <family val="2"/>
        <charset val="1"/>
      </rPr>
      <t xml:space="preserve">)</t>
    </r>
  </si>
  <si>
    <t xml:space="preserve">기본값 유지. 낮추면 일관성 측정이 무의미해짐</t>
  </si>
  <si>
    <t xml:space="preserve">Thinking level</t>
  </si>
  <si>
    <t xml:space="preserve">High</t>
  </si>
  <si>
    <t xml:space="preserve">모델에 최대한 유리한 조건을 준 상태여야 반박을 막음</t>
  </si>
  <si>
    <t xml:space="preserve">Grounding with Google Search</t>
  </si>
  <si>
    <t xml:space="preserve">OFF</t>
  </si>
  <si>
    <t xml:space="preserve">Grounding with Google Maps</t>
  </si>
  <si>
    <t xml:space="preserve">URL context</t>
  </si>
  <si>
    <t xml:space="preserve">System instructions</t>
  </si>
  <si>
    <t xml:space="preserve">비움</t>
  </si>
  <si>
    <t xml:space="preserve">여기에 뭘 넣으면 그것도 프롬프트 조작</t>
  </si>
  <si>
    <t xml:space="preserve">이미지 첨부</t>
  </si>
  <si>
    <t xml:space="preserve">없음</t>
  </si>
  <si>
    <t xml:space="preserve">결정례에 이미지가 있어도 넣지 않음. 텍스트 전용 통일</t>
  </si>
  <si>
    <t xml:space="preserve">차단 확인 (시작)</t>
  </si>
  <si>
    <t xml:space="preserve">결정례 번호로 품명·세번을 물어 모른다고 답했는지</t>
  </si>
  <si>
    <t xml:space="preserve">차단 확인 (종료)</t>
  </si>
  <si>
    <r>
      <rPr>
        <sz val="9"/>
        <color rgb="FF666666"/>
        <rFont val="Arial"/>
        <family val="2"/>
        <charset val="1"/>
      </rPr>
      <t xml:space="preserve">5</t>
    </r>
    <r>
      <rPr>
        <sz val="9"/>
        <color rgb="FF666666"/>
        <rFont val="Noto Sans CJK SC"/>
        <family val="2"/>
      </rPr>
      <t xml:space="preserve">건 또는 </t>
    </r>
    <r>
      <rPr>
        <sz val="9"/>
        <color rgb="FF666666"/>
        <rFont val="Arial"/>
        <family val="2"/>
        <charset val="1"/>
      </rPr>
      <t xml:space="preserve">30</t>
    </r>
    <r>
      <rPr>
        <sz val="9"/>
        <color rgb="FF666666"/>
        <rFont val="Noto Sans CJK SC"/>
        <family val="2"/>
      </rPr>
      <t xml:space="preserve">건 종료 후 재확인</t>
    </r>
  </si>
  <si>
    <t xml:space="preserve">측정 일자</t>
  </si>
  <si>
    <t xml:space="preserve">2026-08-__</t>
  </si>
  <si>
    <t xml:space="preserve">추출 모델 (물품설명 재작성용)</t>
  </si>
  <si>
    <t xml:space="preserve">측정 모델과 다른 회사 것</t>
  </si>
  <si>
    <t xml:space="preserve">평가 셋 출처</t>
  </si>
  <si>
    <t xml:space="preserve">관세청 품목분류 결정례</t>
  </si>
  <si>
    <t xml:space="preserve">알려진 한계</t>
  </si>
  <si>
    <t xml:space="preserve">평가 셋이 공표된 결정례이므로 검색 가능 모델에서는 과대추정됨. 검색을 차단해 통제했으며, 실제 타겟인 미결정 신규 품목 상황의 대리 지표로 사용</t>
  </si>
  <si>
    <t xml:space="preserve">이 문장을 그대로 문서·발표에 쓰세요</t>
  </si>
  <si>
    <t xml:space="preserve">결과요약 — 유효 건만 집계</t>
  </si>
  <si>
    <t xml:space="preserve">케이스목록의 유효_A / 유효_B가 O인 행만 계산에 들어갑니다. 입력할 것은 없습니다.</t>
  </si>
  <si>
    <t xml:space="preserve">측정 규모</t>
  </si>
  <si>
    <t xml:space="preserve">조건 A 유효 건수</t>
  </si>
  <si>
    <r>
      <rPr>
        <sz val="9"/>
        <color rgb="FF666666"/>
        <rFont val="Arial"/>
        <family val="2"/>
        <charset val="1"/>
      </rPr>
      <t xml:space="preserve">30</t>
    </r>
    <r>
      <rPr>
        <sz val="9"/>
        <color rgb="FF666666"/>
        <rFont val="Noto Sans CJK SC"/>
        <family val="2"/>
      </rPr>
      <t xml:space="preserve">건 목표</t>
    </r>
    <r>
      <rPr>
        <sz val="9"/>
        <color rgb="FF666666"/>
        <rFont val="Arial"/>
        <family val="2"/>
        <charset val="1"/>
      </rPr>
      <t xml:space="preserve">. 20</t>
    </r>
    <r>
      <rPr>
        <sz val="9"/>
        <color rgb="FF666666"/>
        <rFont val="Noto Sans CJK SC"/>
        <family val="2"/>
      </rPr>
      <t xml:space="preserve">건 미만이면 신뢰도 낮음</t>
    </r>
  </si>
  <si>
    <t xml:space="preserve">조건 B 유효 건수</t>
  </si>
  <si>
    <t xml:space="preserve">제외된 건수</t>
  </si>
  <si>
    <t xml:space="preserve">제외 사유는 케이스목록에 기록</t>
  </si>
  <si>
    <t xml:space="preserve">결정례 인용 발생</t>
  </si>
  <si>
    <r>
      <rPr>
        <sz val="9"/>
        <color rgb="FF666666"/>
        <rFont val="Arial"/>
        <family val="2"/>
        <charset val="1"/>
      </rPr>
      <t xml:space="preserve">0</t>
    </r>
    <r>
      <rPr>
        <sz val="9"/>
        <color rgb="FF666666"/>
        <rFont val="Noto Sans CJK SC"/>
        <family val="2"/>
      </rPr>
      <t xml:space="preserve">이 아니면 검색이 새어 들어온 것</t>
    </r>
    <r>
      <rPr>
        <sz val="9"/>
        <color rgb="FF666666"/>
        <rFont val="Arial"/>
        <family val="2"/>
        <charset val="1"/>
      </rPr>
      <t xml:space="preserve">. </t>
    </r>
    <r>
      <rPr>
        <sz val="9"/>
        <color rgb="FF666666"/>
        <rFont val="Noto Sans CJK SC"/>
        <family val="2"/>
      </rPr>
      <t xml:space="preserve">해당 행을 유효 </t>
    </r>
    <r>
      <rPr>
        <sz val="9"/>
        <color rgb="FF666666"/>
        <rFont val="Arial"/>
        <family val="2"/>
        <charset val="1"/>
      </rPr>
      <t xml:space="preserve">X</t>
    </r>
    <r>
      <rPr>
        <sz val="9"/>
        <color rgb="FF666666"/>
        <rFont val="Noto Sans CJK SC"/>
        <family val="2"/>
      </rPr>
      <t xml:space="preserve">로</t>
    </r>
  </si>
  <si>
    <t xml:space="preserve">조건 A — 상세 물품설명 (모델 성능의 상한선)</t>
  </si>
  <si>
    <r>
      <rPr>
        <sz val="10"/>
        <rFont val="Arial"/>
        <family val="2"/>
        <charset val="1"/>
      </rPr>
      <t xml:space="preserve">4</t>
    </r>
    <r>
      <rPr>
        <sz val="10"/>
        <rFont val="Noto Sans CJK SC"/>
        <family val="2"/>
      </rPr>
      <t xml:space="preserve">자리</t>
    </r>
    <r>
      <rPr>
        <sz val="10"/>
        <rFont val="Arial"/>
        <family val="2"/>
        <charset val="1"/>
      </rPr>
      <t xml:space="preserve">(</t>
    </r>
    <r>
      <rPr>
        <sz val="10"/>
        <rFont val="Noto Sans CJK SC"/>
        <family val="2"/>
      </rPr>
      <t xml:space="preserve">호</t>
    </r>
    <r>
      <rPr>
        <sz val="10"/>
        <rFont val="Arial"/>
        <family val="2"/>
        <charset val="1"/>
      </rPr>
      <t xml:space="preserve">) </t>
    </r>
    <r>
      <rPr>
        <sz val="10"/>
        <rFont val="Noto Sans CJK SC"/>
        <family val="2"/>
      </rPr>
      <t xml:space="preserve">일치율</t>
    </r>
  </si>
  <si>
    <t xml:space="preserve">큰 분류를 맞췄는가</t>
  </si>
  <si>
    <r>
      <rPr>
        <sz val="10"/>
        <rFont val="Arial"/>
        <family val="2"/>
        <charset val="1"/>
      </rPr>
      <t xml:space="preserve">6</t>
    </r>
    <r>
      <rPr>
        <sz val="10"/>
        <rFont val="Noto Sans CJK SC"/>
        <family val="2"/>
      </rPr>
      <t xml:space="preserve">자리</t>
    </r>
    <r>
      <rPr>
        <sz val="10"/>
        <rFont val="Arial"/>
        <family val="2"/>
        <charset val="1"/>
      </rPr>
      <t xml:space="preserve">(</t>
    </r>
    <r>
      <rPr>
        <sz val="10"/>
        <rFont val="Noto Sans CJK SC"/>
        <family val="2"/>
      </rPr>
      <t xml:space="preserve">국제공통</t>
    </r>
    <r>
      <rPr>
        <sz val="10"/>
        <rFont val="Arial"/>
        <family val="2"/>
        <charset val="1"/>
      </rPr>
      <t xml:space="preserve">) </t>
    </r>
    <r>
      <rPr>
        <sz val="10"/>
        <rFont val="Noto Sans CJK SC"/>
        <family val="2"/>
      </rPr>
      <t xml:space="preserve">일치율</t>
    </r>
  </si>
  <si>
    <t xml:space="preserve">핵심 지표. 아래 판정의 기준값</t>
  </si>
  <si>
    <r>
      <rPr>
        <sz val="10"/>
        <rFont val="Arial"/>
        <family val="2"/>
        <charset val="1"/>
      </rPr>
      <t xml:space="preserve">10</t>
    </r>
    <r>
      <rPr>
        <sz val="10"/>
        <rFont val="Noto Sans CJK SC"/>
        <family val="2"/>
      </rPr>
      <t xml:space="preserve">자리</t>
    </r>
    <r>
      <rPr>
        <sz val="10"/>
        <rFont val="Arial"/>
        <family val="2"/>
        <charset val="1"/>
      </rPr>
      <t xml:space="preserve">(HSK) </t>
    </r>
    <r>
      <rPr>
        <sz val="10"/>
        <rFont val="Noto Sans CJK SC"/>
        <family val="2"/>
      </rPr>
      <t xml:space="preserve">일치율</t>
    </r>
  </si>
  <si>
    <t xml:space="preserve">실무 즉시 사용 가능 여부</t>
  </si>
  <si>
    <r>
      <rPr>
        <sz val="10"/>
        <rFont val="Arial"/>
        <family val="2"/>
        <charset val="1"/>
      </rPr>
      <t xml:space="preserve">P2 Top1 6</t>
    </r>
    <r>
      <rPr>
        <sz val="10"/>
        <rFont val="Noto Sans CJK SC"/>
        <family val="2"/>
      </rPr>
      <t xml:space="preserve">자리</t>
    </r>
  </si>
  <si>
    <r>
      <rPr>
        <sz val="9"/>
        <color rgb="FF666666"/>
        <rFont val="Arial"/>
        <family val="2"/>
        <charset val="1"/>
      </rPr>
      <t xml:space="preserve">P1</t>
    </r>
    <r>
      <rPr>
        <sz val="9"/>
        <color rgb="FF666666"/>
        <rFont val="Noto Sans CJK SC"/>
        <family val="2"/>
      </rPr>
      <t xml:space="preserve">과 비슷하면 후보를 여럿 요구하는 것만으로는 개선 없음</t>
    </r>
  </si>
  <si>
    <r>
      <rPr>
        <sz val="10"/>
        <rFont val="Arial"/>
        <family val="2"/>
        <charset val="1"/>
      </rPr>
      <t xml:space="preserve">P2 Top3 </t>
    </r>
    <r>
      <rPr>
        <sz val="10"/>
        <rFont val="Noto Sans CJK SC"/>
        <family val="2"/>
      </rPr>
      <t xml:space="preserve">포함율</t>
    </r>
  </si>
  <si>
    <t xml:space="preserve">만들 시스템이 후보 3개 형태이므로 이 값이 실제 비교 기준선</t>
  </si>
  <si>
    <t xml:space="preserve">조건 B — 품명 원문만 (실무 입력)</t>
  </si>
  <si>
    <r>
      <rPr>
        <sz val="10"/>
        <rFont val="Arial"/>
        <family val="2"/>
        <charset val="1"/>
      </rPr>
      <t xml:space="preserve">4</t>
    </r>
    <r>
      <rPr>
        <sz val="10"/>
        <rFont val="Noto Sans CJK SC"/>
        <family val="2"/>
      </rPr>
      <t xml:space="preserve">자리 일치율</t>
    </r>
  </si>
  <si>
    <r>
      <rPr>
        <sz val="10"/>
        <rFont val="Arial"/>
        <family val="2"/>
        <charset val="1"/>
      </rPr>
      <t xml:space="preserve">6</t>
    </r>
    <r>
      <rPr>
        <sz val="10"/>
        <rFont val="Noto Sans CJK SC"/>
        <family val="2"/>
      </rPr>
      <t xml:space="preserve">자리 일치율</t>
    </r>
  </si>
  <si>
    <t xml:space="preserve">조건 A와 비교할 값</t>
  </si>
  <si>
    <r>
      <rPr>
        <sz val="10"/>
        <rFont val="Arial"/>
        <family val="2"/>
        <charset val="1"/>
      </rPr>
      <t xml:space="preserve">10</t>
    </r>
    <r>
      <rPr>
        <sz val="10"/>
        <rFont val="Noto Sans CJK SC"/>
        <family val="2"/>
      </rPr>
      <t xml:space="preserve">자리 일치율</t>
    </r>
  </si>
  <si>
    <t xml:space="preserve">정보부족 언급률</t>
  </si>
  <si>
    <t xml:space="preserve">낮을수록 정보가 부족한데도 확신에 차서 답한다는 뜻 → 되묻기 기능의 존재 이유</t>
  </si>
  <si>
    <t xml:space="preserve">되묻기 질문 평균</t>
  </si>
  <si>
    <r>
      <rPr>
        <sz val="9"/>
        <color rgb="FF666666"/>
        <rFont val="Arial"/>
        <family val="2"/>
        <charset val="1"/>
      </rPr>
      <t xml:space="preserve">0</t>
    </r>
    <r>
      <rPr>
        <sz val="9"/>
        <color rgb="FF666666"/>
        <rFont val="Noto Sans CJK SC"/>
        <family val="2"/>
      </rPr>
      <t xml:space="preserve">에 가까우면 모델이 스스로 되묻지 않는다는 증거</t>
    </r>
  </si>
  <si>
    <t xml:space="preserve">품명유형별 조건 B 6자리 정확도</t>
  </si>
  <si>
    <t xml:space="preserve">품명명확 유형</t>
  </si>
  <si>
    <t xml:space="preserve">품명만으로 용도를 알 수 있는 건</t>
  </si>
  <si>
    <t xml:space="preserve">품번only 유형</t>
  </si>
  <si>
    <t xml:space="preserve">품번·약어뿐인 건. 실무 병목이 여기 몰립니다. 타겟을 좁힐 근거</t>
  </si>
  <si>
    <r>
      <rPr>
        <b val="true"/>
        <sz val="11"/>
        <color rgb="FFFFFFFF"/>
        <rFont val="Arial"/>
        <family val="2"/>
        <charset val="1"/>
      </rPr>
      <t xml:space="preserve">A vs B </t>
    </r>
    <r>
      <rPr>
        <b val="true"/>
        <sz val="11"/>
        <color rgb="FFFFFFFF"/>
        <rFont val="Noto Sans CJK SC"/>
        <family val="2"/>
      </rPr>
      <t xml:space="preserve">격차</t>
    </r>
  </si>
  <si>
    <r>
      <rPr>
        <sz val="10"/>
        <rFont val="Arial"/>
        <family val="2"/>
        <charset val="1"/>
      </rPr>
      <t xml:space="preserve">6</t>
    </r>
    <r>
      <rPr>
        <sz val="10"/>
        <rFont val="Noto Sans CJK SC"/>
        <family val="2"/>
      </rPr>
      <t xml:space="preserve">자리 격차 </t>
    </r>
    <r>
      <rPr>
        <sz val="10"/>
        <rFont val="Arial"/>
        <family val="2"/>
        <charset val="1"/>
      </rPr>
      <t xml:space="preserve">(A − B)</t>
    </r>
  </si>
  <si>
    <t xml:space="preserve">양수이면 정보가 도움이 된 것, 음수이면 상세 설명이 오히려 방해한 것</t>
  </si>
  <si>
    <t xml:space="preserve">해석</t>
  </si>
  <si>
    <r>
      <rPr>
        <b val="true"/>
        <sz val="11"/>
        <color rgb="FFFFFFFF"/>
        <rFont val="Noto Sans CJK SC"/>
        <family val="2"/>
      </rPr>
      <t xml:space="preserve">일관성 — 같은 질문 </t>
    </r>
    <r>
      <rPr>
        <b val="true"/>
        <sz val="11"/>
        <color rgb="FFFFFFFF"/>
        <rFont val="Arial"/>
        <family val="0"/>
        <charset val="1"/>
      </rPr>
      <t xml:space="preserve">3</t>
    </r>
    <r>
      <rPr>
        <b val="true"/>
        <sz val="11"/>
        <color rgb="FFFFFFFF"/>
        <rFont val="Noto Sans CJK SC"/>
        <family val="2"/>
      </rPr>
      <t xml:space="preserve">회 반복 </t>
    </r>
    <r>
      <rPr>
        <b val="true"/>
        <sz val="11"/>
        <color rgb="FFFFFFFF"/>
        <rFont val="Arial"/>
        <family val="0"/>
        <charset val="1"/>
      </rPr>
      <t xml:space="preserve">(10</t>
    </r>
    <r>
      <rPr>
        <b val="true"/>
        <sz val="11"/>
        <color rgb="FFFFFFFF"/>
        <rFont val="Noto Sans CJK SC"/>
        <family val="2"/>
      </rPr>
      <t xml:space="preserve">건</t>
    </r>
    <r>
      <rPr>
        <b val="true"/>
        <sz val="11"/>
        <color rgb="FFFFFFFF"/>
        <rFont val="Arial"/>
        <family val="0"/>
        <charset val="1"/>
      </rPr>
      <t xml:space="preserve">)</t>
    </r>
  </si>
  <si>
    <r>
      <rPr>
        <sz val="10"/>
        <rFont val="Arial"/>
        <family val="0"/>
        <charset val="1"/>
      </rPr>
      <t xml:space="preserve">3</t>
    </r>
    <r>
      <rPr>
        <sz val="10"/>
        <rFont val="Noto Sans CJK SC"/>
        <family val="2"/>
      </rPr>
      <t xml:space="preserve">회 모두 같은 답 </t>
    </r>
    <r>
      <rPr>
        <sz val="10"/>
        <rFont val="Arial"/>
        <family val="0"/>
        <charset val="1"/>
      </rPr>
      <t xml:space="preserve">(6</t>
    </r>
    <r>
      <rPr>
        <sz val="10"/>
        <rFont val="Noto Sans CJK SC"/>
        <family val="2"/>
      </rPr>
      <t xml:space="preserve">자리</t>
    </r>
    <r>
      <rPr>
        <sz val="10"/>
        <rFont val="Arial"/>
        <family val="0"/>
        <charset val="1"/>
      </rPr>
      <t xml:space="preserve">)</t>
    </r>
  </si>
  <si>
    <t xml:space="preserve">큰 분류가 흔들리지 않는가</t>
  </si>
  <si>
    <r>
      <rPr>
        <sz val="10"/>
        <rFont val="Arial"/>
        <family val="0"/>
        <charset val="1"/>
      </rPr>
      <t xml:space="preserve">3</t>
    </r>
    <r>
      <rPr>
        <sz val="10"/>
        <rFont val="Noto Sans CJK SC"/>
        <family val="2"/>
      </rPr>
      <t xml:space="preserve">회 모두 같은 답 </t>
    </r>
    <r>
      <rPr>
        <sz val="10"/>
        <rFont val="Arial"/>
        <family val="0"/>
        <charset val="1"/>
      </rPr>
      <t xml:space="preserve">(10</t>
    </r>
    <r>
      <rPr>
        <sz val="10"/>
        <rFont val="Noto Sans CJK SC"/>
        <family val="2"/>
      </rPr>
      <t xml:space="preserve">자리</t>
    </r>
    <r>
      <rPr>
        <sz val="10"/>
        <rFont val="Arial"/>
        <family val="0"/>
        <charset val="1"/>
      </rPr>
      <t xml:space="preserve">)</t>
    </r>
  </si>
  <si>
    <r>
      <rPr>
        <sz val="9"/>
        <color rgb="FF666666"/>
        <rFont val="Noto Sans CJK SC"/>
        <family val="2"/>
      </rPr>
      <t xml:space="preserve">실무 기준</t>
    </r>
    <r>
      <rPr>
        <sz val="9"/>
        <color rgb="FF666666"/>
        <rFont val="Arial"/>
        <family val="0"/>
        <charset val="1"/>
      </rPr>
      <t xml:space="preserve">. </t>
    </r>
    <r>
      <rPr>
        <sz val="9"/>
        <color rgb="FF666666"/>
        <rFont val="Noto Sans CJK SC"/>
        <family val="2"/>
      </rPr>
      <t xml:space="preserve">세번이 다르면 관세율이 달라지므로 </t>
    </r>
    <r>
      <rPr>
        <sz val="9"/>
        <color rgb="FF666666"/>
        <rFont val="Arial"/>
        <family val="0"/>
        <charset val="1"/>
      </rPr>
      <t xml:space="preserve">6</t>
    </r>
    <r>
      <rPr>
        <sz val="9"/>
        <color rgb="FF666666"/>
        <rFont val="Noto Sans CJK SC"/>
        <family val="2"/>
      </rPr>
      <t xml:space="preserve">자리 일치만으로는 도입 불가</t>
    </r>
  </si>
  <si>
    <r>
      <rPr>
        <sz val="10"/>
        <rFont val="Arial"/>
        <family val="0"/>
        <charset val="1"/>
      </rPr>
      <t xml:space="preserve">3</t>
    </r>
    <r>
      <rPr>
        <sz val="10"/>
        <rFont val="Noto Sans CJK SC"/>
        <family val="2"/>
      </rPr>
      <t xml:space="preserve">회 중 정답 평균 </t>
    </r>
    <r>
      <rPr>
        <sz val="10"/>
        <rFont val="Arial"/>
        <family val="0"/>
        <charset val="1"/>
      </rPr>
      <t xml:space="preserve">(6</t>
    </r>
    <r>
      <rPr>
        <sz val="10"/>
        <rFont val="Noto Sans CJK SC"/>
        <family val="2"/>
      </rPr>
      <t xml:space="preserve">자리</t>
    </r>
    <r>
      <rPr>
        <sz val="10"/>
        <rFont val="Arial"/>
        <family val="0"/>
        <charset val="1"/>
      </rPr>
      <t xml:space="preserve">)</t>
    </r>
  </si>
  <si>
    <r>
      <rPr>
        <sz val="9"/>
        <color rgb="FF666666"/>
        <rFont val="Arial"/>
        <family val="0"/>
        <charset val="1"/>
      </rPr>
      <t xml:space="preserve">30</t>
    </r>
    <r>
      <rPr>
        <sz val="9"/>
        <color rgb="FF666666"/>
        <rFont val="Noto Sans CJK SC"/>
        <family val="2"/>
      </rPr>
      <t xml:space="preserve">건 결과가 운인지 실력인지 검증</t>
    </r>
  </si>
  <si>
    <r>
      <rPr>
        <sz val="10"/>
        <rFont val="Arial"/>
        <family val="0"/>
        <charset val="1"/>
      </rPr>
      <t xml:space="preserve">3</t>
    </r>
    <r>
      <rPr>
        <sz val="10"/>
        <rFont val="Noto Sans CJK SC"/>
        <family val="2"/>
      </rPr>
      <t xml:space="preserve">회 중 정답 평균 </t>
    </r>
    <r>
      <rPr>
        <sz val="10"/>
        <rFont val="Arial"/>
        <family val="0"/>
        <charset val="1"/>
      </rPr>
      <t xml:space="preserve">(10</t>
    </r>
    <r>
      <rPr>
        <sz val="10"/>
        <rFont val="Noto Sans CJK SC"/>
        <family val="2"/>
      </rPr>
      <t xml:space="preserve">자리</t>
    </r>
    <r>
      <rPr>
        <sz val="10"/>
        <rFont val="Arial"/>
        <family val="0"/>
        <charset val="1"/>
      </rPr>
      <t xml:space="preserve">)</t>
    </r>
  </si>
  <si>
    <r>
      <rPr>
        <sz val="9"/>
        <color rgb="FF666666"/>
        <rFont val="Arial"/>
        <family val="0"/>
        <charset val="1"/>
      </rPr>
      <t xml:space="preserve">3.0</t>
    </r>
    <r>
      <rPr>
        <sz val="9"/>
        <color rgb="FF666666"/>
        <rFont val="Noto Sans CJK SC"/>
        <family val="2"/>
      </rPr>
      <t xml:space="preserve">에 가까울수록 안정</t>
    </r>
    <r>
      <rPr>
        <sz val="9"/>
        <color rgb="FF666666"/>
        <rFont val="Arial"/>
        <family val="0"/>
        <charset val="1"/>
      </rPr>
      <t xml:space="preserve">. 1 </t>
    </r>
    <r>
      <rPr>
        <sz val="9"/>
        <color rgb="FF666666"/>
        <rFont val="Noto Sans CJK SC"/>
        <family val="2"/>
      </rPr>
      <t xml:space="preserve">이하면 사실상 찍는 것</t>
    </r>
  </si>
  <si>
    <t xml:space="preserve">판정</t>
  </si>
  <si>
    <r>
      <rPr>
        <b val="true"/>
        <sz val="10"/>
        <rFont val="Noto Sans CJK SC"/>
        <family val="2"/>
      </rPr>
      <t xml:space="preserve">조건 </t>
    </r>
    <r>
      <rPr>
        <b val="true"/>
        <sz val="10"/>
        <rFont val="Arial"/>
        <family val="0"/>
        <charset val="1"/>
      </rPr>
      <t xml:space="preserve">A 6</t>
    </r>
    <r>
      <rPr>
        <b val="true"/>
        <sz val="10"/>
        <rFont val="Noto Sans CJK SC"/>
        <family val="2"/>
      </rPr>
      <t xml:space="preserve">자리 기준</t>
    </r>
  </si>
  <si>
    <t xml:space="preserve">일관성 단서</t>
  </si>
  <si>
    <r>
      <rPr>
        <b val="true"/>
        <sz val="11"/>
        <color rgb="FFFFFFFF"/>
        <rFont val="Noto Sans CJK SC"/>
        <family val="2"/>
      </rPr>
      <t xml:space="preserve">오답유형 분포 </t>
    </r>
    <r>
      <rPr>
        <b val="true"/>
        <sz val="11"/>
        <color rgb="FFFFFFFF"/>
        <rFont val="Arial"/>
        <family val="0"/>
        <charset val="1"/>
      </rPr>
      <t xml:space="preserve">(</t>
    </r>
    <r>
      <rPr>
        <b val="true"/>
        <sz val="11"/>
        <color rgb="FFFFFFFF"/>
        <rFont val="Noto Sans CJK SC"/>
        <family val="2"/>
      </rPr>
      <t xml:space="preserve">조건 </t>
    </r>
    <r>
      <rPr>
        <b val="true"/>
        <sz val="11"/>
        <color rgb="FFFFFFFF"/>
        <rFont val="Arial"/>
        <family val="0"/>
        <charset val="1"/>
      </rPr>
      <t xml:space="preserve">A, </t>
    </r>
    <r>
      <rPr>
        <b val="true"/>
        <sz val="11"/>
        <color rgb="FFFFFFFF"/>
        <rFont val="Noto Sans CJK SC"/>
        <family val="2"/>
      </rPr>
      <t xml:space="preserve">유효 건만</t>
    </r>
    <r>
      <rPr>
        <b val="true"/>
        <sz val="11"/>
        <color rgb="FFFFFFFF"/>
        <rFont val="Arial"/>
        <family val="0"/>
        <charset val="1"/>
      </rPr>
      <t xml:space="preserve">)</t>
    </r>
  </si>
  <si>
    <t xml:space="preserve">유형</t>
  </si>
  <si>
    <t xml:space="preserve">건수</t>
  </si>
  <si>
    <t xml:space="preserve">비중</t>
  </si>
  <si>
    <r>
      <rPr>
        <sz val="10"/>
        <rFont val="Noto Sans CJK SC"/>
        <family val="2"/>
      </rPr>
      <t xml:space="preserve">용도</t>
    </r>
    <r>
      <rPr>
        <sz val="10"/>
        <rFont val="Arial"/>
        <family val="0"/>
        <charset val="1"/>
      </rPr>
      <t xml:space="preserve">/</t>
    </r>
    <r>
      <rPr>
        <sz val="10"/>
        <rFont val="Noto Sans CJK SC"/>
        <family val="2"/>
      </rPr>
      <t xml:space="preserve">기능 오인</t>
    </r>
  </si>
  <si>
    <r>
      <rPr>
        <sz val="10"/>
        <rFont val="Noto Sans CJK SC"/>
        <family val="2"/>
      </rPr>
      <t xml:space="preserve">한국 고유 세번</t>
    </r>
    <r>
      <rPr>
        <sz val="10"/>
        <rFont val="Arial"/>
        <family val="0"/>
        <charset val="1"/>
      </rPr>
      <t xml:space="preserve">(10</t>
    </r>
    <r>
      <rPr>
        <sz val="10"/>
        <rFont val="Noto Sans CJK SC"/>
        <family val="2"/>
      </rPr>
      <t xml:space="preserve">자리</t>
    </r>
    <r>
      <rPr>
        <sz val="10"/>
        <rFont val="Arial"/>
        <family val="0"/>
        <charset val="1"/>
      </rPr>
      <t xml:space="preserve">) </t>
    </r>
    <r>
      <rPr>
        <sz val="10"/>
        <rFont val="Noto Sans CJK SC"/>
        <family val="2"/>
      </rPr>
      <t xml:space="preserve">오류</t>
    </r>
  </si>
  <si>
    <t xml:space="preserve">기타</t>
  </si>
  <si>
    <t xml:space="preserve">합계</t>
  </si>
  <si>
    <r>
      <rPr>
        <sz val="9"/>
        <color rgb="FF666666"/>
        <rFont val="Arial"/>
        <family val="0"/>
        <charset val="1"/>
      </rPr>
      <t xml:space="preserve">3</t>
    </r>
    <r>
      <rPr>
        <sz val="9"/>
        <color rgb="FF666666"/>
        <rFont val="Noto Sans CJK SC"/>
        <family val="2"/>
      </rPr>
      <t xml:space="preserve">건 이상 반복되는 새 유형이 보이면 목록에 추가</t>
    </r>
  </si>
</sst>
</file>

<file path=xl/styles.xml><?xml version="1.0" encoding="utf-8"?>
<styleSheet xmlns="http://schemas.openxmlformats.org/spreadsheetml/2006/main">
  <numFmts count="6">
    <numFmt numFmtId="164" formatCode="General"/>
    <numFmt numFmtId="165" formatCode="@"/>
    <numFmt numFmtId="166" formatCode="General"/>
    <numFmt numFmtId="167" formatCode="0"/>
    <numFmt numFmtId="168" formatCode="0.0%"/>
    <numFmt numFmtId="169" formatCode="0.0"/>
  </numFmts>
  <fonts count="39">
    <font>
      <sz val="11"/>
      <color theme="1"/>
      <name val="Calibri"/>
      <family val="2"/>
      <charset val="1"/>
    </font>
    <font>
      <sz val="10"/>
      <name val="Arial"/>
      <family val="0"/>
    </font>
    <font>
      <sz val="10"/>
      <name val="Arial"/>
      <family val="0"/>
    </font>
    <font>
      <sz val="10"/>
      <name val="Arial"/>
      <family val="0"/>
    </font>
    <font>
      <b val="true"/>
      <sz val="13"/>
      <color rgb="FF1F3864"/>
      <name val="Arial"/>
      <family val="2"/>
      <charset val="1"/>
    </font>
    <font>
      <b val="true"/>
      <sz val="13"/>
      <color rgb="FF1F3864"/>
      <name val="Noto Sans CJK SC"/>
      <family val="2"/>
    </font>
    <font>
      <i val="true"/>
      <sz val="9"/>
      <color rgb="FF666666"/>
      <name val="Noto Sans CJK SC"/>
      <family val="2"/>
      <charset val="1"/>
    </font>
    <font>
      <sz val="10"/>
      <name val="Arial"/>
      <family val="2"/>
      <charset val="1"/>
    </font>
    <font>
      <b val="true"/>
      <sz val="11"/>
      <color rgb="FF1F3864"/>
      <name val="Noto Sans CJK SC"/>
      <family val="2"/>
      <charset val="1"/>
    </font>
    <font>
      <sz val="10"/>
      <name val="Noto Sans CJK SC"/>
      <family val="2"/>
      <charset val="1"/>
    </font>
    <font>
      <sz val="10"/>
      <name val="Noto Sans CJK SC"/>
      <family val="2"/>
    </font>
    <font>
      <sz val="9"/>
      <color rgb="FF333333"/>
      <name val="Arial"/>
      <family val="2"/>
      <charset val="1"/>
    </font>
    <font>
      <sz val="9"/>
      <color rgb="FF333333"/>
      <name val="Noto Sans CJK SC"/>
      <family val="2"/>
    </font>
    <font>
      <sz val="9"/>
      <color rgb="FF333333"/>
      <name val="Noto Sans CJK SC"/>
      <family val="2"/>
      <charset val="1"/>
    </font>
    <font>
      <b val="true"/>
      <sz val="13"/>
      <color rgb="FF375623"/>
      <name val="Noto Sans CJK SC"/>
      <family val="2"/>
      <charset val="1"/>
    </font>
    <font>
      <b val="true"/>
      <sz val="10"/>
      <color rgb="FFFFFFFF"/>
      <name val="Noto Sans CJK SC"/>
      <family val="2"/>
      <charset val="1"/>
    </font>
    <font>
      <b val="true"/>
      <sz val="13"/>
      <color rgb="FF1F3864"/>
      <name val="Noto Sans CJK SC"/>
      <family val="2"/>
      <charset val="1"/>
    </font>
    <font>
      <b val="true"/>
      <sz val="10"/>
      <color rgb="FFFFFFFF"/>
      <name val="Arial"/>
      <family val="2"/>
      <charset val="1"/>
    </font>
    <font>
      <b val="true"/>
      <sz val="10"/>
      <color rgb="FFFFFFFF"/>
      <name val="Noto Sans CJK SC"/>
      <family val="2"/>
    </font>
    <font>
      <sz val="11"/>
      <color theme="1"/>
      <name val="Noto Sans CJK SC"/>
      <family val="2"/>
      <charset val="1"/>
    </font>
    <font>
      <b val="true"/>
      <sz val="13"/>
      <color rgb="FF7B3F00"/>
      <name val="Noto Sans CJK SC"/>
      <family val="2"/>
      <charset val="1"/>
    </font>
    <font>
      <i val="true"/>
      <sz val="9"/>
      <color rgb="FF666666"/>
      <name val="Arial"/>
      <family val="2"/>
      <charset val="1"/>
    </font>
    <font>
      <i val="true"/>
      <sz val="9"/>
      <color rgb="FF666666"/>
      <name val="Noto Sans CJK SC"/>
      <family val="2"/>
    </font>
    <font>
      <b val="true"/>
      <sz val="10"/>
      <color rgb="FFFFFFFF"/>
      <name val="Arial"/>
      <family val="0"/>
      <charset val="1"/>
    </font>
    <font>
      <sz val="10"/>
      <name val="Arial"/>
      <family val="0"/>
      <charset val="1"/>
    </font>
    <font>
      <b val="true"/>
      <sz val="10"/>
      <name val="Noto Sans CJK SC"/>
      <family val="2"/>
      <charset val="1"/>
    </font>
    <font>
      <sz val="9"/>
      <color rgb="FF666666"/>
      <name val="Noto Sans CJK SC"/>
      <family val="2"/>
      <charset val="1"/>
    </font>
    <font>
      <b val="true"/>
      <sz val="10"/>
      <name val="Arial"/>
      <family val="2"/>
      <charset val="1"/>
    </font>
    <font>
      <sz val="9"/>
      <color rgb="FF666666"/>
      <name val="Arial"/>
      <family val="2"/>
      <charset val="1"/>
    </font>
    <font>
      <sz val="9"/>
      <color rgb="FF666666"/>
      <name val="Noto Sans CJK SC"/>
      <family val="2"/>
    </font>
    <font>
      <b val="true"/>
      <sz val="11"/>
      <color rgb="FFFFFFFF"/>
      <name val="Noto Sans CJK SC"/>
      <family val="2"/>
      <charset val="1"/>
    </font>
    <font>
      <b val="true"/>
      <sz val="11"/>
      <color rgb="FFFFFFFF"/>
      <name val="Arial"/>
      <family val="2"/>
      <charset val="1"/>
    </font>
    <font>
      <b val="true"/>
      <sz val="11"/>
      <color rgb="FFFFFFFF"/>
      <name val="Noto Sans CJK SC"/>
      <family val="2"/>
    </font>
    <font>
      <b val="true"/>
      <sz val="10"/>
      <color rgb="FFC00000"/>
      <name val="Noto Sans CJK SC"/>
      <family val="2"/>
      <charset val="1"/>
    </font>
    <font>
      <b val="true"/>
      <sz val="11"/>
      <color rgb="FFFFFFFF"/>
      <name val="Arial"/>
      <family val="0"/>
      <charset val="1"/>
    </font>
    <font>
      <b val="true"/>
      <sz val="10"/>
      <name val="Arial"/>
      <family val="0"/>
      <charset val="1"/>
    </font>
    <font>
      <sz val="9"/>
      <color rgb="FF666666"/>
      <name val="Arial"/>
      <family val="0"/>
      <charset val="1"/>
    </font>
    <font>
      <b val="true"/>
      <sz val="10"/>
      <name val="Noto Sans CJK SC"/>
      <family val="2"/>
    </font>
    <font>
      <b val="true"/>
      <sz val="10"/>
      <color rgb="FFC00000"/>
      <name val="Arial"/>
      <family val="0"/>
      <charset val="1"/>
    </font>
  </fonts>
  <fills count="12">
    <fill>
      <patternFill patternType="none"/>
    </fill>
    <fill>
      <patternFill patternType="gray125"/>
    </fill>
    <fill>
      <patternFill patternType="solid">
        <fgColor rgb="FFD9E2F3"/>
        <bgColor rgb="FFE2EFDA"/>
      </patternFill>
    </fill>
    <fill>
      <patternFill patternType="solid">
        <fgColor rgb="FFF2F2F2"/>
        <bgColor rgb="FFE2EFDA"/>
      </patternFill>
    </fill>
    <fill>
      <patternFill patternType="solid">
        <fgColor rgb="FF375623"/>
        <bgColor rgb="FF333333"/>
      </patternFill>
    </fill>
    <fill>
      <patternFill patternType="solid">
        <fgColor rgb="FFFFF2CC"/>
        <bgColor rgb="FFF2F2F2"/>
      </patternFill>
    </fill>
    <fill>
      <patternFill patternType="solid">
        <fgColor rgb="FFFFFF00"/>
        <bgColor rgb="FFFFFF00"/>
      </patternFill>
    </fill>
    <fill>
      <patternFill patternType="solid">
        <fgColor rgb="FF1F3864"/>
        <bgColor rgb="FF333333"/>
      </patternFill>
    </fill>
    <fill>
      <patternFill patternType="solid">
        <fgColor rgb="FFE2EFDA"/>
        <bgColor rgb="FFF2F2F2"/>
      </patternFill>
    </fill>
    <fill>
      <patternFill patternType="solid">
        <fgColor rgb="FF7B3F00"/>
        <bgColor rgb="FF993366"/>
      </patternFill>
    </fill>
    <fill>
      <patternFill patternType="solid">
        <fgColor rgb="FFC00000"/>
        <bgColor rgb="FF800000"/>
      </patternFill>
    </fill>
    <fill>
      <patternFill patternType="solid">
        <fgColor rgb="FF4472C4"/>
        <bgColor rgb="FF6666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11" fillId="3" borderId="0" xfId="0" applyFont="true" applyBorder="false" applyAlignment="true" applyProtection="false">
      <alignment horizontal="left" vertical="top" textRotation="0" wrapText="true" indent="0" shrinkToFit="false"/>
      <protection locked="true" hidden="false"/>
    </xf>
    <xf numFmtId="164" fontId="13" fillId="3"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center" vertical="center" textRotation="0" wrapText="false" indent="0" shrinkToFit="false"/>
      <protection locked="true" hidden="false"/>
    </xf>
    <xf numFmtId="164" fontId="9" fillId="8" borderId="1" xfId="0" applyFont="true" applyBorder="true" applyAlignment="true" applyProtection="false">
      <alignment horizontal="left" vertical="top" textRotation="0" wrapText="true" indent="0" shrinkToFit="false"/>
      <protection locked="true" hidden="false"/>
    </xf>
    <xf numFmtId="165" fontId="7" fillId="8" borderId="1" xfId="0" applyFont="true" applyBorder="true" applyAlignment="true" applyProtection="false">
      <alignment horizontal="center" vertical="center" textRotation="0" wrapText="false" indent="0" shrinkToFit="false"/>
      <protection locked="true" hidden="false"/>
    </xf>
    <xf numFmtId="165" fontId="7" fillId="5"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3" fillId="7" borderId="1" xfId="0" applyFont="true" applyBorder="true" applyAlignment="true" applyProtection="false">
      <alignment horizontal="center" vertical="center" textRotation="0" wrapText="true" indent="0" shrinkToFit="false"/>
      <protection locked="true" hidden="false"/>
    </xf>
    <xf numFmtId="164" fontId="18" fillId="7"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general" vertical="center" textRotation="0" wrapText="true" indent="0" shrinkToFit="false"/>
      <protection locked="true" hidden="false"/>
    </xf>
    <xf numFmtId="165" fontId="7" fillId="5" borderId="1" xfId="0" applyFont="true" applyBorder="true" applyAlignment="true" applyProtection="false">
      <alignment horizontal="general" vertical="center" textRotation="0" wrapText="false" indent="0" shrinkToFit="false"/>
      <protection locked="true" hidden="false"/>
    </xf>
    <xf numFmtId="166" fontId="24" fillId="3" borderId="1" xfId="0" applyFont="true" applyBorder="true" applyAlignment="true" applyProtection="false">
      <alignment horizontal="center" vertical="center" textRotation="0" wrapText="false" indent="0" shrinkToFit="false"/>
      <protection locked="true" hidden="false"/>
    </xf>
    <xf numFmtId="164" fontId="24" fillId="5" borderId="1" xfId="0" applyFont="true" applyBorder="tru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center" vertical="center" textRotation="0" wrapText="false" indent="0" shrinkToFit="false"/>
      <protection locked="true" hidden="false"/>
    </xf>
    <xf numFmtId="164" fontId="25" fillId="0" borderId="1" xfId="0" applyFont="true" applyBorder="true" applyAlignment="true" applyProtection="false">
      <alignment horizontal="left" vertical="top" textRotation="0" wrapText="true" indent="0" shrinkToFit="false"/>
      <protection locked="true" hidden="false"/>
    </xf>
    <xf numFmtId="164" fontId="26"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top" textRotation="0" wrapText="true" indent="0" shrinkToFit="false"/>
      <protection locked="true" hidden="false"/>
    </xf>
    <xf numFmtId="164" fontId="30" fillId="7" borderId="0" xfId="0" applyFont="true" applyBorder="fals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7" fontId="2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8" fontId="27" fillId="0" borderId="1" xfId="0" applyFont="true" applyBorder="true" applyAlignment="true" applyProtection="false">
      <alignment horizontal="center" vertical="center" textRotation="0" wrapText="false" indent="0" shrinkToFit="false"/>
      <protection locked="true" hidden="false"/>
    </xf>
    <xf numFmtId="164" fontId="30" fillId="9" borderId="0" xfId="0" applyFont="true" applyBorder="false" applyAlignment="tru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general" vertical="bottom" textRotation="0" wrapText="false" indent="0" shrinkToFit="false"/>
      <protection locked="true" hidden="false"/>
    </xf>
    <xf numFmtId="169" fontId="27" fillId="0" borderId="1" xfId="0" applyFont="true" applyBorder="true" applyAlignment="true" applyProtection="false">
      <alignment horizontal="center" vertical="center" textRotation="0" wrapText="false" indent="0" shrinkToFit="false"/>
      <protection locked="true" hidden="false"/>
    </xf>
    <xf numFmtId="164" fontId="31" fillId="10" borderId="0" xfId="0" applyFont="true" applyBorder="false" applyAlignment="true" applyProtection="false">
      <alignment horizontal="general" vertical="bottom" textRotation="0" wrapText="false" indent="0" shrinkToFit="false"/>
      <protection locked="true" hidden="false"/>
    </xf>
    <xf numFmtId="164" fontId="0" fillId="10" borderId="0" xfId="0" applyFont="false" applyBorder="false" applyAlignment="true" applyProtection="false">
      <alignment horizontal="general" vertical="bottom" textRotation="0" wrapText="false" indent="0" shrinkToFit="false"/>
      <protection locked="true" hidden="false"/>
    </xf>
    <xf numFmtId="164" fontId="25" fillId="0" borderId="1" xfId="0" applyFont="true" applyBorder="true" applyAlignment="true" applyProtection="false">
      <alignment horizontal="general" vertical="bottom" textRotation="0" wrapText="false" indent="0" shrinkToFit="false"/>
      <protection locked="true" hidden="false"/>
    </xf>
    <xf numFmtId="164" fontId="33" fillId="0" borderId="1" xfId="0" applyFont="true" applyBorder="true" applyAlignment="true" applyProtection="false">
      <alignment horizontal="left" vertical="top" textRotation="0" wrapText="true" indent="0" shrinkToFit="false"/>
      <protection locked="true" hidden="false"/>
    </xf>
    <xf numFmtId="164" fontId="32" fillId="7" borderId="0"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true" applyAlignment="tru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left" vertical="top" textRotation="0" wrapText="true" indent="0" shrinkToFit="false"/>
      <protection locked="true" hidden="false"/>
    </xf>
    <xf numFmtId="168" fontId="35" fillId="0" borderId="1" xfId="0" applyFont="true" applyBorder="true" applyAlignment="true" applyProtection="false">
      <alignment horizontal="center" vertical="center" textRotation="0" wrapText="false" indent="0" shrinkToFit="false"/>
      <protection locked="true" hidden="false"/>
    </xf>
    <xf numFmtId="164" fontId="29" fillId="0" borderId="1" xfId="0" applyFont="true" applyBorder="true" applyAlignment="true" applyProtection="false">
      <alignment horizontal="left" vertical="top" textRotation="0" wrapText="true" indent="0" shrinkToFit="false"/>
      <protection locked="true" hidden="false"/>
    </xf>
    <xf numFmtId="169" fontId="35" fillId="0" borderId="1" xfId="0" applyFont="true" applyBorder="true" applyAlignment="true" applyProtection="false">
      <alignment horizontal="center" vertical="center" textRotation="0" wrapText="false" indent="0" shrinkToFit="false"/>
      <protection locked="true" hidden="false"/>
    </xf>
    <xf numFmtId="164" fontId="36" fillId="0" borderId="1" xfId="0" applyFont="true" applyBorder="true" applyAlignment="true" applyProtection="false">
      <alignment horizontal="left" vertical="top" textRotation="0" wrapText="tru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4" fontId="33" fillId="0" borderId="0"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32" fillId="10" borderId="0" xfId="0" applyFont="true" applyBorder="true" applyAlignment="false" applyProtection="false">
      <alignment horizontal="general" vertical="bottom" textRotation="0" wrapText="false" indent="0" shrinkToFit="false"/>
      <protection locked="true" hidden="false"/>
    </xf>
    <xf numFmtId="164" fontId="0" fillId="10" borderId="0" xfId="0" applyFont="fals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true" applyProtection="false">
      <alignment horizontal="general" vertical="bottom" textRotation="0" wrapText="false" indent="0" shrinkToFit="false"/>
      <protection locked="true" hidden="false"/>
    </xf>
    <xf numFmtId="164" fontId="38" fillId="0" borderId="1"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center" vertical="center" textRotation="0" wrapText="false" indent="0" shrinkToFit="false"/>
      <protection locked="true" hidden="false"/>
    </xf>
    <xf numFmtId="167" fontId="38"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7" fontId="7" fillId="0" borderId="0" xfId="0" applyFont="true" applyBorder="true" applyAlignment="true" applyProtection="false">
      <alignment horizontal="center" vertical="center" textRotation="0" wrapText="false" indent="0" shrinkToFit="false"/>
      <protection locked="true" hidden="false"/>
    </xf>
    <xf numFmtId="168" fontId="7" fillId="0" borderId="0" xfId="0" applyFont="true" applyBorder="true" applyAlignment="true" applyProtection="false">
      <alignment horizontal="center" vertical="center" textRotation="0" wrapText="false" indent="0" shrinkToFit="false"/>
      <protection locked="true" hidden="false"/>
    </xf>
    <xf numFmtId="167" fontId="7" fillId="7" borderId="0" xfId="0" applyFont="true" applyBorder="true" applyAlignment="true" applyProtection="false">
      <alignment horizontal="center" vertical="center" textRotation="0" wrapText="false" indent="0" shrinkToFit="false"/>
      <protection locked="true" hidden="false"/>
    </xf>
    <xf numFmtId="168" fontId="7" fillId="7" borderId="0"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7" fontId="18" fillId="11" borderId="1" xfId="0" applyFont="true" applyBorder="true" applyAlignment="true" applyProtection="false">
      <alignment horizontal="center" vertical="center" textRotation="0" wrapText="false" indent="0" shrinkToFit="false"/>
      <protection locked="true" hidden="false"/>
    </xf>
    <xf numFmtId="168" fontId="18" fillId="11"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7" fontId="24" fillId="0" borderId="1" xfId="0" applyFont="true" applyBorder="true" applyAlignment="true" applyProtection="false">
      <alignment horizontal="center" vertical="center" textRotation="0" wrapText="false" indent="0" shrinkToFit="false"/>
      <protection locked="true" hidden="false"/>
    </xf>
    <xf numFmtId="168" fontId="24"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7" fontId="35"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472C4"/>
      <rgbColor rgb="FF33CCCC"/>
      <rgbColor rgb="FF99CC00"/>
      <rgbColor rgb="FFFFCC00"/>
      <rgbColor rgb="FFFF9900"/>
      <rgbColor rgb="FFFF6600"/>
      <rgbColor rgb="FF666666"/>
      <rgbColor rgb="FF969696"/>
      <rgbColor rgb="FF1F3864"/>
      <rgbColor rgb="FF339966"/>
      <rgbColor rgb="FF003300"/>
      <rgbColor rgb="FF375623"/>
      <rgbColor rgb="FF7B3F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A51"/>
  <sheetViews>
    <sheetView showFormulas="false" showGridLines="false" showRowColHeaders="true" showZeros="true" rightToLeft="false" tabSelected="false" showOutlineSymbols="true" defaultGridColor="true" view="normal" topLeftCell="A31" colorId="64" zoomScale="100" zoomScaleNormal="100" zoomScalePageLayoutView="100" workbookViewId="0">
      <selection pane="topLeft" activeCell="A27" activeCellId="0" sqref="A27"/>
    </sheetView>
  </sheetViews>
  <sheetFormatPr defaultColWidth="8.71484375" defaultRowHeight="15" zeroHeight="false" outlineLevelRow="0" outlineLevelCol="0"/>
  <cols>
    <col collapsed="false" customWidth="true" hidden="false" outlineLevel="0" max="1" min="1" style="1" width="118"/>
  </cols>
  <sheetData>
    <row r="1" customFormat="false" ht="19.5" hidden="false" customHeight="true" outlineLevel="0" collapsed="false">
      <c r="A1" s="2" t="s">
        <v>0</v>
      </c>
    </row>
    <row r="2" customFormat="false" ht="13.5" hidden="false" customHeight="true" outlineLevel="0" collapsed="false">
      <c r="A2" s="3" t="s">
        <v>1</v>
      </c>
    </row>
    <row r="3" customFormat="false" ht="15" hidden="false" customHeight="true" outlineLevel="0" collapsed="false">
      <c r="A3" s="4"/>
    </row>
    <row r="4" customFormat="false" ht="15" hidden="false" customHeight="true" outlineLevel="0" collapsed="false">
      <c r="A4" s="5" t="s">
        <v>2</v>
      </c>
    </row>
    <row r="5" customFormat="false" ht="15" hidden="false" customHeight="true" outlineLevel="0" collapsed="false">
      <c r="A5" s="6" t="s">
        <v>3</v>
      </c>
    </row>
    <row r="6" customFormat="false" ht="15" hidden="false" customHeight="true" outlineLevel="0" collapsed="false">
      <c r="A6" s="6" t="s">
        <v>4</v>
      </c>
    </row>
    <row r="7" customFormat="false" ht="15" hidden="false" customHeight="true" outlineLevel="0" collapsed="false">
      <c r="A7" s="6" t="s">
        <v>5</v>
      </c>
    </row>
    <row r="8" customFormat="false" ht="15" hidden="false" customHeight="true" outlineLevel="0" collapsed="false">
      <c r="A8" s="6" t="s">
        <v>6</v>
      </c>
    </row>
    <row r="9" customFormat="false" ht="15" hidden="false" customHeight="true" outlineLevel="0" collapsed="false">
      <c r="A9" s="6" t="s">
        <v>7</v>
      </c>
    </row>
    <row r="10" customFormat="false" ht="15" hidden="false" customHeight="true" outlineLevel="0" collapsed="false">
      <c r="A10" s="6" t="s">
        <v>8</v>
      </c>
    </row>
    <row r="11" customFormat="false" ht="15" hidden="false" customHeight="true" outlineLevel="0" collapsed="false">
      <c r="A11" s="4"/>
    </row>
    <row r="12" customFormat="false" ht="15" hidden="false" customHeight="true" outlineLevel="0" collapsed="false">
      <c r="A12" s="5" t="s">
        <v>9</v>
      </c>
    </row>
    <row r="13" customFormat="false" ht="15" hidden="false" customHeight="true" outlineLevel="0" collapsed="false">
      <c r="A13" s="6" t="s">
        <v>10</v>
      </c>
    </row>
    <row r="14" customFormat="false" ht="15" hidden="false" customHeight="true" outlineLevel="0" collapsed="false">
      <c r="A14" s="4"/>
    </row>
    <row r="15" customFormat="false" ht="16.5" hidden="false" customHeight="true" outlineLevel="0" collapsed="false">
      <c r="A15" s="5" t="s">
        <v>11</v>
      </c>
    </row>
    <row r="16" customFormat="false" ht="15" hidden="false" customHeight="true" outlineLevel="0" collapsed="false">
      <c r="A16" s="6" t="s">
        <v>12</v>
      </c>
    </row>
    <row r="17" customFormat="false" ht="15" hidden="false" customHeight="true" outlineLevel="0" collapsed="false">
      <c r="A17" s="4" t="s">
        <v>13</v>
      </c>
    </row>
    <row r="18" customFormat="false" ht="15" hidden="false" customHeight="true" outlineLevel="0" collapsed="false">
      <c r="A18" s="6" t="s">
        <v>14</v>
      </c>
    </row>
    <row r="19" customFormat="false" ht="15" hidden="false" customHeight="true" outlineLevel="0" collapsed="false">
      <c r="A19" s="4"/>
    </row>
    <row r="20" customFormat="false" ht="15" hidden="false" customHeight="true" outlineLevel="0" collapsed="false">
      <c r="A20" s="5" t="s">
        <v>15</v>
      </c>
    </row>
    <row r="21" customFormat="false" ht="15" hidden="false" customHeight="true" outlineLevel="0" collapsed="false">
      <c r="A21" s="6" t="s">
        <v>16</v>
      </c>
    </row>
    <row r="22" customFormat="false" ht="15" hidden="false" customHeight="true" outlineLevel="0" collapsed="false">
      <c r="A22" s="6" t="s">
        <v>17</v>
      </c>
    </row>
    <row r="23" customFormat="false" ht="15" hidden="false" customHeight="true" outlineLevel="0" collapsed="false">
      <c r="A23" s="6" t="s">
        <v>18</v>
      </c>
    </row>
    <row r="24" customFormat="false" ht="15" hidden="false" customHeight="true" outlineLevel="0" collapsed="false">
      <c r="A24" s="4"/>
    </row>
    <row r="25" customFormat="false" ht="15" hidden="false" customHeight="true" outlineLevel="0" collapsed="false">
      <c r="A25" s="5" t="s">
        <v>19</v>
      </c>
    </row>
    <row r="26" customFormat="false" ht="15" hidden="false" customHeight="true" outlineLevel="0" collapsed="false">
      <c r="A26" s="4" t="s">
        <v>20</v>
      </c>
    </row>
    <row r="27" customFormat="false" ht="15" hidden="false" customHeight="true" outlineLevel="0" collapsed="false">
      <c r="A27" s="4" t="s">
        <v>21</v>
      </c>
    </row>
    <row r="28" customFormat="false" ht="15" hidden="false" customHeight="true" outlineLevel="0" collapsed="false">
      <c r="A28" s="4" t="s">
        <v>22</v>
      </c>
    </row>
    <row r="29" customFormat="false" ht="15" hidden="false" customHeight="true" outlineLevel="0" collapsed="false">
      <c r="A29" s="4" t="s">
        <v>23</v>
      </c>
    </row>
    <row r="30" customFormat="false" ht="15" hidden="false" customHeight="true" outlineLevel="0" collapsed="false">
      <c r="A30" s="4" t="s">
        <v>24</v>
      </c>
    </row>
    <row r="31" customFormat="false" ht="15" hidden="false" customHeight="true" outlineLevel="0" collapsed="false">
      <c r="A31" s="4" t="s">
        <v>25</v>
      </c>
    </row>
    <row r="32" customFormat="false" ht="15" hidden="false" customHeight="true" outlineLevel="0" collapsed="false">
      <c r="A32" s="4" t="s">
        <v>26</v>
      </c>
    </row>
    <row r="33" customFormat="false" ht="15" hidden="false" customHeight="true" outlineLevel="0" collapsed="false">
      <c r="A33" s="4"/>
    </row>
    <row r="34" customFormat="false" ht="15" hidden="false" customHeight="true" outlineLevel="0" collapsed="false">
      <c r="A34" s="5" t="s">
        <v>27</v>
      </c>
    </row>
    <row r="35" customFormat="false" ht="36" hidden="false" customHeight="true" outlineLevel="0" collapsed="false">
      <c r="A35" s="7" t="s">
        <v>28</v>
      </c>
    </row>
    <row r="36" customFormat="false" ht="36" hidden="false" customHeight="true" outlineLevel="0" collapsed="false">
      <c r="A36" s="7" t="s">
        <v>29</v>
      </c>
    </row>
    <row r="37" customFormat="false" ht="15" hidden="false" customHeight="true" outlineLevel="0" collapsed="false">
      <c r="A37" s="4"/>
    </row>
    <row r="38" customFormat="false" ht="16.5" hidden="false" customHeight="true" outlineLevel="0" collapsed="false">
      <c r="A38" s="5" t="s">
        <v>30</v>
      </c>
    </row>
    <row r="39" customFormat="false" ht="120" hidden="false" customHeight="true" outlineLevel="0" collapsed="false">
      <c r="A39" s="8" t="s">
        <v>31</v>
      </c>
    </row>
    <row r="40" customFormat="false" ht="15" hidden="false" customHeight="true" outlineLevel="0" collapsed="false">
      <c r="A40" s="6" t="s">
        <v>32</v>
      </c>
    </row>
    <row r="41" customFormat="false" ht="15" hidden="false" customHeight="true" outlineLevel="0" collapsed="false">
      <c r="A41" s="4"/>
    </row>
    <row r="42" customFormat="false" ht="15" hidden="false" customHeight="true" outlineLevel="0" collapsed="false">
      <c r="A42" s="5" t="s">
        <v>33</v>
      </c>
    </row>
    <row r="43" customFormat="false" ht="15" hidden="false" customHeight="true" outlineLevel="0" collapsed="false">
      <c r="A43" s="6" t="s">
        <v>34</v>
      </c>
    </row>
    <row r="44" customFormat="false" ht="15" hidden="false" customHeight="true" outlineLevel="0" collapsed="false">
      <c r="A44" s="6" t="s">
        <v>35</v>
      </c>
    </row>
    <row r="45" customFormat="false" ht="15" hidden="false" customHeight="true" outlineLevel="0" collapsed="false">
      <c r="A45" s="6" t="s">
        <v>36</v>
      </c>
    </row>
    <row r="46" customFormat="false" ht="15" hidden="false" customHeight="true" outlineLevel="0" collapsed="false">
      <c r="A46" s="4"/>
    </row>
    <row r="47" customFormat="false" ht="15" hidden="false" customHeight="true" outlineLevel="0" collapsed="false">
      <c r="A47" s="5" t="s">
        <v>37</v>
      </c>
    </row>
    <row r="48" customFormat="false" ht="15" hidden="false" customHeight="true" outlineLevel="0" collapsed="false">
      <c r="A48" s="6" t="s">
        <v>38</v>
      </c>
    </row>
    <row r="49" customFormat="false" ht="15" hidden="false" customHeight="true" outlineLevel="0" collapsed="false">
      <c r="A49" s="6" t="s">
        <v>39</v>
      </c>
    </row>
    <row r="50" customFormat="false" ht="15" hidden="false" customHeight="true" outlineLevel="0" collapsed="false">
      <c r="A50" s="6" t="s">
        <v>40</v>
      </c>
    </row>
    <row r="51" customFormat="false" ht="15" hidden="false" customHeight="true" outlineLevel="0" collapsed="false">
      <c r="A51" s="6" t="s">
        <v>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J3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2" ySplit="4" topLeftCell="C27" activePane="bottomRight" state="frozen"/>
      <selection pane="topLeft" activeCell="A1" activeCellId="0" sqref="A1"/>
      <selection pane="topRight" activeCell="C1" activeCellId="0" sqref="C1"/>
      <selection pane="bottomLeft" activeCell="A27" activeCellId="0" sqref="A27"/>
      <selection pane="bottomRight" activeCell="E27" activeCellId="0" sqref="E27"/>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38"/>
    <col collapsed="false" customWidth="true" hidden="false" outlineLevel="0" max="4" min="4" style="1" width="13"/>
    <col collapsed="false" customWidth="true" hidden="false" outlineLevel="0" max="5" min="5" style="1" width="56"/>
    <col collapsed="false" customWidth="true" hidden="false" outlineLevel="0" max="6" min="6" style="1" width="10"/>
    <col collapsed="false" customWidth="true" hidden="false" outlineLevel="0" max="7" min="7" style="1" width="11"/>
    <col collapsed="false" customWidth="true" hidden="false" outlineLevel="0" max="9" min="8" style="1" width="6"/>
    <col collapsed="false" customWidth="true" hidden="false" outlineLevel="0" max="10" min="10" style="1" width="40"/>
  </cols>
  <sheetData>
    <row r="1" customFormat="false" ht="15.75" hidden="false" customHeight="true" outlineLevel="0" collapsed="false">
      <c r="A1" s="9" t="s">
        <v>42</v>
      </c>
    </row>
    <row r="2" customFormat="false" ht="15" hidden="false" customHeight="true" outlineLevel="0" collapsed="false">
      <c r="A2" s="3" t="s">
        <v>43</v>
      </c>
    </row>
    <row r="3" customFormat="false" ht="31.5" hidden="false" customHeight="true" outlineLevel="0" collapsed="false">
      <c r="A3" s="10" t="s">
        <v>44</v>
      </c>
      <c r="B3" s="10" t="s">
        <v>45</v>
      </c>
      <c r="C3" s="10" t="s">
        <v>46</v>
      </c>
      <c r="D3" s="10" t="s">
        <v>47</v>
      </c>
      <c r="E3" s="10" t="s">
        <v>48</v>
      </c>
      <c r="F3" s="10" t="s">
        <v>49</v>
      </c>
      <c r="G3" s="10" t="s">
        <v>50</v>
      </c>
      <c r="H3" s="10" t="s">
        <v>51</v>
      </c>
      <c r="I3" s="10" t="s">
        <v>52</v>
      </c>
      <c r="J3" s="10" t="s">
        <v>53</v>
      </c>
    </row>
    <row r="5" customFormat="false" ht="42" hidden="false" customHeight="true" outlineLevel="0" collapsed="false">
      <c r="A5" s="11" t="n">
        <v>1</v>
      </c>
      <c r="B5" s="12" t="s">
        <v>54</v>
      </c>
      <c r="C5" s="12" t="s">
        <v>55</v>
      </c>
      <c r="D5" s="13" t="s">
        <v>56</v>
      </c>
      <c r="E5" s="12" t="s">
        <v>57</v>
      </c>
      <c r="F5" s="14" t="s">
        <v>58</v>
      </c>
      <c r="G5" s="14" t="s">
        <v>59</v>
      </c>
      <c r="H5" s="15" t="s">
        <v>60</v>
      </c>
      <c r="I5" s="15" t="s">
        <v>60</v>
      </c>
      <c r="J5" s="12" t="s">
        <v>61</v>
      </c>
    </row>
    <row r="6" customFormat="false" ht="57.75" hidden="false" customHeight="true" outlineLevel="0" collapsed="false">
      <c r="A6" s="11" t="n">
        <v>2</v>
      </c>
      <c r="B6" s="12" t="s">
        <v>62</v>
      </c>
      <c r="C6" s="16" t="s">
        <v>63</v>
      </c>
      <c r="D6" s="13" t="s">
        <v>64</v>
      </c>
      <c r="E6" s="16" t="s">
        <v>65</v>
      </c>
      <c r="F6" s="14" t="s">
        <v>58</v>
      </c>
      <c r="G6" s="14" t="s">
        <v>66</v>
      </c>
      <c r="H6" s="15" t="s">
        <v>67</v>
      </c>
      <c r="I6" s="15" t="s">
        <v>67</v>
      </c>
      <c r="J6" s="16"/>
    </row>
    <row r="7" customFormat="false" ht="42" hidden="false" customHeight="true" outlineLevel="0" collapsed="false">
      <c r="A7" s="11" t="n">
        <v>3</v>
      </c>
      <c r="B7" s="12" t="s">
        <v>68</v>
      </c>
      <c r="C7" s="16" t="s">
        <v>69</v>
      </c>
      <c r="D7" s="13" t="s">
        <v>70</v>
      </c>
      <c r="E7" s="12" t="s">
        <v>71</v>
      </c>
      <c r="F7" s="14" t="s">
        <v>58</v>
      </c>
      <c r="G7" s="14" t="s">
        <v>59</v>
      </c>
      <c r="H7" s="15" t="s">
        <v>67</v>
      </c>
      <c r="I7" s="15" t="s">
        <v>60</v>
      </c>
      <c r="J7" s="12" t="s">
        <v>72</v>
      </c>
    </row>
    <row r="8" customFormat="false" ht="42" hidden="false" customHeight="true" outlineLevel="0" collapsed="false">
      <c r="A8" s="11" t="n">
        <v>4</v>
      </c>
      <c r="B8" s="12" t="s">
        <v>73</v>
      </c>
      <c r="C8" s="12" t="s">
        <v>74</v>
      </c>
      <c r="D8" s="13" t="s">
        <v>75</v>
      </c>
      <c r="E8" s="12" t="s">
        <v>76</v>
      </c>
      <c r="F8" s="14" t="s">
        <v>58</v>
      </c>
      <c r="G8" s="14" t="s">
        <v>59</v>
      </c>
      <c r="H8" s="15" t="s">
        <v>67</v>
      </c>
      <c r="I8" s="15" t="s">
        <v>67</v>
      </c>
      <c r="J8" s="16"/>
    </row>
    <row r="9" customFormat="false" ht="42" hidden="false" customHeight="true" outlineLevel="0" collapsed="false">
      <c r="A9" s="11" t="n">
        <v>5</v>
      </c>
      <c r="B9" s="12" t="s">
        <v>77</v>
      </c>
      <c r="C9" s="16" t="s">
        <v>78</v>
      </c>
      <c r="D9" s="13" t="s">
        <v>79</v>
      </c>
      <c r="E9" s="12" t="s">
        <v>80</v>
      </c>
      <c r="F9" s="14" t="s">
        <v>58</v>
      </c>
      <c r="G9" s="14" t="s">
        <v>66</v>
      </c>
      <c r="H9" s="15" t="s">
        <v>67</v>
      </c>
      <c r="I9" s="15" t="s">
        <v>67</v>
      </c>
      <c r="J9" s="16"/>
    </row>
    <row r="10" customFormat="false" ht="156.75" hidden="false" customHeight="true" outlineLevel="0" collapsed="false">
      <c r="A10" s="17" t="n">
        <v>6</v>
      </c>
      <c r="B10" s="12" t="s">
        <v>81</v>
      </c>
      <c r="C10" s="12" t="s">
        <v>82</v>
      </c>
      <c r="D10" s="13" t="s">
        <v>83</v>
      </c>
      <c r="E10" s="12" t="s">
        <v>84</v>
      </c>
      <c r="F10" s="14" t="s">
        <v>58</v>
      </c>
      <c r="G10" s="14" t="s">
        <v>59</v>
      </c>
      <c r="H10" s="15" t="s">
        <v>67</v>
      </c>
      <c r="I10" s="15" t="s">
        <v>67</v>
      </c>
      <c r="J10" s="16"/>
    </row>
    <row r="11" customFormat="false" ht="185.25" hidden="false" customHeight="true" outlineLevel="0" collapsed="false">
      <c r="A11" s="11" t="n">
        <v>7</v>
      </c>
      <c r="B11" s="12" t="s">
        <v>85</v>
      </c>
      <c r="C11" s="16" t="s">
        <v>86</v>
      </c>
      <c r="D11" s="13" t="s">
        <v>87</v>
      </c>
      <c r="E11" s="12" t="s">
        <v>88</v>
      </c>
      <c r="F11" s="14" t="s">
        <v>58</v>
      </c>
      <c r="G11" s="14" t="s">
        <v>59</v>
      </c>
      <c r="H11" s="15" t="s">
        <v>67</v>
      </c>
      <c r="I11" s="15" t="s">
        <v>67</v>
      </c>
      <c r="J11" s="16"/>
    </row>
    <row r="12" customFormat="false" ht="179.25" hidden="false" customHeight="true" outlineLevel="0" collapsed="false">
      <c r="A12" s="11" t="n">
        <v>8</v>
      </c>
      <c r="B12" s="12" t="s">
        <v>89</v>
      </c>
      <c r="C12" s="16" t="s">
        <v>90</v>
      </c>
      <c r="D12" s="13" t="s">
        <v>91</v>
      </c>
      <c r="E12" s="12" t="s">
        <v>92</v>
      </c>
      <c r="F12" s="14" t="s">
        <v>58</v>
      </c>
      <c r="G12" s="14" t="s">
        <v>66</v>
      </c>
      <c r="H12" s="15" t="s">
        <v>67</v>
      </c>
      <c r="I12" s="15" t="s">
        <v>67</v>
      </c>
      <c r="J12" s="16"/>
    </row>
    <row r="13" customFormat="false" ht="258.75" hidden="false" customHeight="true" outlineLevel="0" collapsed="false">
      <c r="A13" s="11" t="n">
        <v>9</v>
      </c>
      <c r="B13" s="12" t="s">
        <v>93</v>
      </c>
      <c r="C13" s="16" t="s">
        <v>94</v>
      </c>
      <c r="D13" s="13" t="s">
        <v>95</v>
      </c>
      <c r="E13" s="12" t="s">
        <v>96</v>
      </c>
      <c r="F13" s="14" t="s">
        <v>58</v>
      </c>
      <c r="G13" s="14" t="s">
        <v>59</v>
      </c>
      <c r="H13" s="15" t="s">
        <v>67</v>
      </c>
      <c r="I13" s="15" t="s">
        <v>67</v>
      </c>
      <c r="J13" s="16"/>
    </row>
    <row r="14" customFormat="false" ht="303.75" hidden="false" customHeight="true" outlineLevel="0" collapsed="false">
      <c r="A14" s="11" t="n">
        <v>10</v>
      </c>
      <c r="B14" s="12" t="s">
        <v>97</v>
      </c>
      <c r="C14" s="16" t="s">
        <v>98</v>
      </c>
      <c r="D14" s="13" t="s">
        <v>99</v>
      </c>
      <c r="E14" s="12" t="s">
        <v>100</v>
      </c>
      <c r="F14" s="14" t="s">
        <v>58</v>
      </c>
      <c r="G14" s="14" t="s">
        <v>59</v>
      </c>
      <c r="H14" s="15" t="s">
        <v>67</v>
      </c>
      <c r="I14" s="15" t="s">
        <v>67</v>
      </c>
      <c r="J14" s="16"/>
    </row>
    <row r="15" customFormat="false" ht="123" hidden="false" customHeight="true" outlineLevel="0" collapsed="false">
      <c r="A15" s="11" t="n">
        <v>11</v>
      </c>
      <c r="B15" s="12" t="s">
        <v>101</v>
      </c>
      <c r="C15" s="16" t="s">
        <v>102</v>
      </c>
      <c r="D15" s="13" t="s">
        <v>103</v>
      </c>
      <c r="E15" s="12" t="s">
        <v>104</v>
      </c>
      <c r="F15" s="14" t="s">
        <v>58</v>
      </c>
      <c r="G15" s="14" t="s">
        <v>66</v>
      </c>
      <c r="H15" s="15" t="s">
        <v>67</v>
      </c>
      <c r="I15" s="15" t="s">
        <v>67</v>
      </c>
      <c r="J15" s="16"/>
    </row>
    <row r="16" customFormat="false" ht="337.5" hidden="false" customHeight="true" outlineLevel="0" collapsed="false">
      <c r="A16" s="11" t="n">
        <v>12</v>
      </c>
      <c r="B16" s="12" t="s">
        <v>105</v>
      </c>
      <c r="C16" s="16" t="s">
        <v>106</v>
      </c>
      <c r="D16" s="13" t="s">
        <v>107</v>
      </c>
      <c r="E16" s="12" t="s">
        <v>108</v>
      </c>
      <c r="F16" s="14" t="s">
        <v>58</v>
      </c>
      <c r="G16" s="14" t="s">
        <v>59</v>
      </c>
      <c r="H16" s="15" t="s">
        <v>67</v>
      </c>
      <c r="I16" s="15" t="s">
        <v>67</v>
      </c>
      <c r="J16" s="16"/>
    </row>
    <row r="17" customFormat="false" ht="303.75" hidden="false" customHeight="true" outlineLevel="0" collapsed="false">
      <c r="A17" s="11" t="n">
        <v>13</v>
      </c>
      <c r="B17" s="12" t="s">
        <v>109</v>
      </c>
      <c r="C17" s="16" t="s">
        <v>110</v>
      </c>
      <c r="D17" s="13" t="s">
        <v>111</v>
      </c>
      <c r="E17" s="12" t="s">
        <v>112</v>
      </c>
      <c r="F17" s="14" t="s">
        <v>58</v>
      </c>
      <c r="G17" s="14" t="s">
        <v>66</v>
      </c>
      <c r="H17" s="15" t="s">
        <v>67</v>
      </c>
      <c r="I17" s="15" t="s">
        <v>67</v>
      </c>
      <c r="J17" s="16"/>
    </row>
    <row r="18" customFormat="false" ht="239.25" hidden="false" customHeight="true" outlineLevel="0" collapsed="false">
      <c r="A18" s="11" t="n">
        <v>14</v>
      </c>
      <c r="B18" s="12" t="s">
        <v>113</v>
      </c>
      <c r="C18" s="16" t="s">
        <v>114</v>
      </c>
      <c r="D18" s="13" t="s">
        <v>115</v>
      </c>
      <c r="E18" s="12" t="s">
        <v>116</v>
      </c>
      <c r="F18" s="14" t="s">
        <v>58</v>
      </c>
      <c r="G18" s="14" t="s">
        <v>59</v>
      </c>
      <c r="H18" s="15" t="s">
        <v>67</v>
      </c>
      <c r="I18" s="15" t="s">
        <v>67</v>
      </c>
      <c r="J18" s="16"/>
    </row>
    <row r="19" customFormat="false" ht="57.75" hidden="false" customHeight="true" outlineLevel="0" collapsed="false">
      <c r="A19" s="11" t="n">
        <v>15</v>
      </c>
      <c r="B19" s="12" t="s">
        <v>117</v>
      </c>
      <c r="C19" s="12" t="s">
        <v>118</v>
      </c>
      <c r="D19" s="13" t="s">
        <v>119</v>
      </c>
      <c r="E19" s="12" t="s">
        <v>120</v>
      </c>
      <c r="F19" s="14" t="s">
        <v>58</v>
      </c>
      <c r="G19" s="14" t="s">
        <v>59</v>
      </c>
      <c r="H19" s="15" t="s">
        <v>67</v>
      </c>
      <c r="I19" s="15" t="s">
        <v>67</v>
      </c>
      <c r="J19" s="16"/>
    </row>
    <row r="20" customFormat="false" ht="140.25" hidden="false" customHeight="true" outlineLevel="0" collapsed="false">
      <c r="A20" s="11" t="n">
        <v>16</v>
      </c>
      <c r="B20" s="12" t="s">
        <v>121</v>
      </c>
      <c r="C20" s="16" t="s">
        <v>122</v>
      </c>
      <c r="D20" s="13" t="s">
        <v>123</v>
      </c>
      <c r="E20" s="12" t="s">
        <v>124</v>
      </c>
      <c r="F20" s="14" t="s">
        <v>58</v>
      </c>
      <c r="G20" s="14" t="s">
        <v>59</v>
      </c>
      <c r="H20" s="15" t="s">
        <v>67</v>
      </c>
      <c r="I20" s="15" t="s">
        <v>67</v>
      </c>
      <c r="J20" s="16"/>
    </row>
    <row r="21" customFormat="false" ht="54.75" hidden="false" customHeight="true" outlineLevel="0" collapsed="false">
      <c r="A21" s="11" t="n">
        <v>17</v>
      </c>
      <c r="B21" s="12" t="s">
        <v>125</v>
      </c>
      <c r="C21" s="16" t="s">
        <v>126</v>
      </c>
      <c r="D21" s="13" t="s">
        <v>127</v>
      </c>
      <c r="E21" s="16" t="s">
        <v>128</v>
      </c>
      <c r="F21" s="14" t="s">
        <v>58</v>
      </c>
      <c r="G21" s="14" t="s">
        <v>66</v>
      </c>
      <c r="H21" s="15" t="s">
        <v>67</v>
      </c>
      <c r="I21" s="15" t="s">
        <v>67</v>
      </c>
      <c r="J21" s="16"/>
    </row>
    <row r="22" customFormat="false" ht="225" hidden="false" customHeight="true" outlineLevel="0" collapsed="false">
      <c r="A22" s="11" t="n">
        <v>18</v>
      </c>
      <c r="B22" s="12" t="s">
        <v>129</v>
      </c>
      <c r="C22" s="16" t="s">
        <v>130</v>
      </c>
      <c r="D22" s="13" t="s">
        <v>131</v>
      </c>
      <c r="E22" s="12" t="s">
        <v>132</v>
      </c>
      <c r="F22" s="14" t="s">
        <v>58</v>
      </c>
      <c r="G22" s="14" t="s">
        <v>59</v>
      </c>
      <c r="H22" s="15" t="s">
        <v>67</v>
      </c>
      <c r="I22" s="15" t="s">
        <v>67</v>
      </c>
      <c r="J22" s="16"/>
    </row>
    <row r="23" customFormat="false" ht="97.5" hidden="false" customHeight="true" outlineLevel="0" collapsed="false">
      <c r="A23" s="11" t="n">
        <v>19</v>
      </c>
      <c r="B23" s="12" t="s">
        <v>133</v>
      </c>
      <c r="C23" s="16" t="s">
        <v>134</v>
      </c>
      <c r="D23" s="13" t="s">
        <v>135</v>
      </c>
      <c r="E23" s="12" t="s">
        <v>136</v>
      </c>
      <c r="F23" s="14" t="s">
        <v>58</v>
      </c>
      <c r="G23" s="14" t="s">
        <v>59</v>
      </c>
      <c r="H23" s="15" t="s">
        <v>67</v>
      </c>
      <c r="I23" s="15" t="s">
        <v>67</v>
      </c>
      <c r="J23" s="16"/>
    </row>
    <row r="24" customFormat="false" ht="448.5" hidden="false" customHeight="true" outlineLevel="0" collapsed="false">
      <c r="A24" s="11" t="n">
        <v>20</v>
      </c>
      <c r="B24" s="12" t="s">
        <v>137</v>
      </c>
      <c r="C24" s="16" t="s">
        <v>138</v>
      </c>
      <c r="D24" s="13" t="s">
        <v>139</v>
      </c>
      <c r="E24" s="12" t="s">
        <v>140</v>
      </c>
      <c r="F24" s="14" t="s">
        <v>58</v>
      </c>
      <c r="G24" s="14" t="s">
        <v>59</v>
      </c>
      <c r="H24" s="15" t="s">
        <v>67</v>
      </c>
      <c r="I24" s="15" t="s">
        <v>67</v>
      </c>
      <c r="J24" s="16"/>
    </row>
    <row r="25" customFormat="false" ht="409.5" hidden="false" customHeight="true" outlineLevel="0" collapsed="false">
      <c r="A25" s="11" t="n">
        <v>21</v>
      </c>
      <c r="B25" s="12" t="s">
        <v>141</v>
      </c>
      <c r="C25" s="12" t="s">
        <v>142</v>
      </c>
      <c r="D25" s="13" t="s">
        <v>143</v>
      </c>
      <c r="E25" s="12" t="s">
        <v>144</v>
      </c>
      <c r="F25" s="14" t="s">
        <v>58</v>
      </c>
      <c r="G25" s="14" t="s">
        <v>66</v>
      </c>
      <c r="H25" s="15" t="s">
        <v>67</v>
      </c>
      <c r="I25" s="15" t="s">
        <v>67</v>
      </c>
      <c r="J25" s="16"/>
    </row>
    <row r="26" customFormat="false" ht="476.25" hidden="false" customHeight="true" outlineLevel="0" collapsed="false">
      <c r="A26" s="11" t="n">
        <v>22</v>
      </c>
      <c r="B26" s="12" t="s">
        <v>145</v>
      </c>
      <c r="C26" s="16" t="s">
        <v>146</v>
      </c>
      <c r="D26" s="13" t="s">
        <v>147</v>
      </c>
      <c r="E26" s="12" t="s">
        <v>148</v>
      </c>
      <c r="F26" s="14" t="s">
        <v>58</v>
      </c>
      <c r="G26" s="14" t="s">
        <v>59</v>
      </c>
      <c r="H26" s="15" t="s">
        <v>67</v>
      </c>
      <c r="I26" s="15" t="s">
        <v>67</v>
      </c>
      <c r="J26" s="16"/>
    </row>
    <row r="27" customFormat="false" ht="57.75" hidden="false" customHeight="true" outlineLevel="0" collapsed="false">
      <c r="A27" s="11" t="n">
        <v>23</v>
      </c>
      <c r="B27" s="12" t="s">
        <v>149</v>
      </c>
      <c r="C27" s="16" t="s">
        <v>150</v>
      </c>
      <c r="D27" s="13" t="s">
        <v>151</v>
      </c>
      <c r="E27" s="12" t="s">
        <v>152</v>
      </c>
      <c r="F27" s="14" t="s">
        <v>58</v>
      </c>
      <c r="G27" s="14" t="s">
        <v>59</v>
      </c>
      <c r="H27" s="15" t="s">
        <v>67</v>
      </c>
      <c r="I27" s="15" t="s">
        <v>67</v>
      </c>
      <c r="J27" s="16"/>
    </row>
    <row r="28" customFormat="false" ht="287.25" hidden="false" customHeight="true" outlineLevel="0" collapsed="false">
      <c r="A28" s="11" t="n">
        <v>24</v>
      </c>
      <c r="B28" s="12" t="s">
        <v>153</v>
      </c>
      <c r="C28" s="16" t="s">
        <v>154</v>
      </c>
      <c r="D28" s="13" t="s">
        <v>155</v>
      </c>
      <c r="E28" s="12" t="s">
        <v>156</v>
      </c>
      <c r="F28" s="14" t="s">
        <v>58</v>
      </c>
      <c r="G28" s="14" t="s">
        <v>59</v>
      </c>
      <c r="H28" s="15" t="s">
        <v>67</v>
      </c>
      <c r="I28" s="15" t="s">
        <v>67</v>
      </c>
      <c r="J28" s="16"/>
    </row>
    <row r="29" customFormat="false" ht="54.75" hidden="false" customHeight="true" outlineLevel="0" collapsed="false">
      <c r="A29" s="11" t="n">
        <v>25</v>
      </c>
      <c r="B29" s="12" t="s">
        <v>157</v>
      </c>
      <c r="C29" s="16" t="s">
        <v>158</v>
      </c>
      <c r="D29" s="13" t="s">
        <v>159</v>
      </c>
      <c r="E29" s="12" t="s">
        <v>160</v>
      </c>
      <c r="F29" s="14" t="s">
        <v>58</v>
      </c>
      <c r="G29" s="14" t="s">
        <v>59</v>
      </c>
      <c r="H29" s="15" t="s">
        <v>67</v>
      </c>
      <c r="I29" s="15" t="s">
        <v>67</v>
      </c>
      <c r="J29" s="16"/>
    </row>
    <row r="30" customFormat="false" ht="83.25" hidden="false" customHeight="true" outlineLevel="0" collapsed="false">
      <c r="A30" s="11" t="n">
        <v>26</v>
      </c>
      <c r="B30" s="12" t="s">
        <v>161</v>
      </c>
      <c r="C30" s="16" t="s">
        <v>162</v>
      </c>
      <c r="D30" s="13" t="s">
        <v>163</v>
      </c>
      <c r="E30" s="12" t="s">
        <v>164</v>
      </c>
      <c r="F30" s="14" t="s">
        <v>58</v>
      </c>
      <c r="G30" s="14" t="s">
        <v>59</v>
      </c>
      <c r="H30" s="15" t="s">
        <v>67</v>
      </c>
      <c r="I30" s="15" t="s">
        <v>67</v>
      </c>
      <c r="J30" s="16"/>
    </row>
    <row r="31" customFormat="false" ht="148.5" hidden="false" customHeight="true" outlineLevel="0" collapsed="false">
      <c r="A31" s="11" t="n">
        <v>27</v>
      </c>
      <c r="B31" s="12" t="s">
        <v>165</v>
      </c>
      <c r="C31" s="16" t="s">
        <v>166</v>
      </c>
      <c r="D31" s="13" t="s">
        <v>167</v>
      </c>
      <c r="E31" s="12" t="s">
        <v>168</v>
      </c>
      <c r="F31" s="14" t="s">
        <v>58</v>
      </c>
      <c r="G31" s="14" t="s">
        <v>59</v>
      </c>
      <c r="H31" s="15" t="s">
        <v>67</v>
      </c>
      <c r="I31" s="15" t="s">
        <v>67</v>
      </c>
      <c r="J31" s="16"/>
    </row>
    <row r="32" customFormat="false" ht="171" hidden="false" customHeight="true" outlineLevel="0" collapsed="false">
      <c r="A32" s="11" t="n">
        <v>28</v>
      </c>
      <c r="B32" s="12" t="s">
        <v>169</v>
      </c>
      <c r="C32" s="16" t="s">
        <v>170</v>
      </c>
      <c r="D32" s="13" t="s">
        <v>171</v>
      </c>
      <c r="E32" s="12" t="s">
        <v>172</v>
      </c>
      <c r="F32" s="14" t="s">
        <v>58</v>
      </c>
      <c r="G32" s="14" t="s">
        <v>59</v>
      </c>
      <c r="H32" s="15" t="s">
        <v>67</v>
      </c>
      <c r="I32" s="15" t="s">
        <v>67</v>
      </c>
      <c r="J32" s="16"/>
    </row>
    <row r="33" customFormat="false" ht="120" hidden="false" customHeight="true" outlineLevel="0" collapsed="false">
      <c r="A33" s="11" t="n">
        <v>29</v>
      </c>
      <c r="B33" s="12" t="s">
        <v>173</v>
      </c>
      <c r="C33" s="12" t="s">
        <v>174</v>
      </c>
      <c r="D33" s="13" t="s">
        <v>175</v>
      </c>
      <c r="E33" s="12" t="s">
        <v>176</v>
      </c>
      <c r="F33" s="14" t="s">
        <v>58</v>
      </c>
      <c r="G33" s="14" t="s">
        <v>59</v>
      </c>
      <c r="H33" s="15" t="s">
        <v>67</v>
      </c>
      <c r="I33" s="15" t="s">
        <v>67</v>
      </c>
      <c r="J33" s="16"/>
    </row>
    <row r="34" customFormat="false" ht="162" hidden="false" customHeight="true" outlineLevel="0" collapsed="false">
      <c r="A34" s="11" t="n">
        <v>30</v>
      </c>
      <c r="B34" s="12" t="s">
        <v>177</v>
      </c>
      <c r="C34" s="12" t="s">
        <v>178</v>
      </c>
      <c r="D34" s="13" t="s">
        <v>179</v>
      </c>
      <c r="E34" s="12" t="s">
        <v>180</v>
      </c>
      <c r="F34" s="14" t="s">
        <v>58</v>
      </c>
      <c r="G34" s="14" t="s">
        <v>59</v>
      </c>
      <c r="H34" s="15" t="s">
        <v>67</v>
      </c>
      <c r="I34" s="15" t="s">
        <v>67</v>
      </c>
      <c r="J34" s="16"/>
    </row>
  </sheetData>
  <dataValidations count="4">
    <dataValidation allowBlank="true" errorStyle="stop" operator="between" showDropDown="false" showErrorMessage="false" showInputMessage="false" sqref="F5:F34" type="list">
      <formula1>"원문,재작성"</formula1>
      <formula2>0</formula2>
    </dataValidation>
    <dataValidation allowBlank="true" errorStyle="stop" operator="between" showDropDown="false" showErrorMessage="false" showInputMessage="false" sqref="G5:G34" type="list">
      <formula1>"품명명확,품번only"</formula1>
      <formula2>0</formula2>
    </dataValidation>
    <dataValidation allowBlank="true" errorStyle="stop" operator="between" showDropDown="false" showErrorMessage="false" showInputMessage="false" sqref="H5:H34" type="list">
      <formula1>"O,X"</formula1>
      <formula2>0</formula2>
    </dataValidation>
    <dataValidation allowBlank="true" errorStyle="stop" operator="between" showDropDown="false" showErrorMessage="false" showInputMessage="false" sqref="I5:I34" type="list">
      <formula1>"O,X"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R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23" activePane="bottomRight" state="frozen"/>
      <selection pane="topLeft" activeCell="A1" activeCellId="0" sqref="A1"/>
      <selection pane="topRight" activeCell="D1" activeCellId="0" sqref="D1"/>
      <selection pane="bottomLeft" activeCell="A23" activeCellId="0" sqref="A23"/>
      <selection pane="bottomRight" activeCell="A27" activeCellId="0" sqref="A27"/>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44"/>
    <col collapsed="false" customWidth="true" hidden="false" outlineLevel="0" max="4" min="4" style="1" width="13"/>
    <col collapsed="false" customWidth="true" hidden="false" outlineLevel="0" max="5" min="5" style="1" width="6"/>
    <col collapsed="false" customWidth="true" hidden="false" outlineLevel="0" max="7" min="6" style="1" width="7"/>
    <col collapsed="false" customWidth="true" hidden="false" outlineLevel="0" max="8" min="8" style="1" width="13"/>
    <col collapsed="false" customWidth="true" hidden="false" outlineLevel="0" max="11" min="9" style="1" width="7"/>
    <col collapsed="false" customWidth="true" hidden="false" outlineLevel="0" max="14" min="12" style="1" width="13"/>
    <col collapsed="false" customWidth="true" hidden="false" outlineLevel="0" max="16" min="15" style="1" width="8"/>
    <col collapsed="false" customWidth="true" hidden="false" outlineLevel="0" max="17" min="17" style="1" width="27"/>
    <col collapsed="false" customWidth="true" hidden="false" outlineLevel="0" max="18" min="18" style="1" width="44"/>
  </cols>
  <sheetData>
    <row r="1" customFormat="false" ht="19.5" hidden="false" customHeight="true" outlineLevel="0" collapsed="false">
      <c r="A1" s="18" t="s">
        <v>181</v>
      </c>
    </row>
    <row r="2" customFormat="false" ht="15" hidden="false" customHeight="true" outlineLevel="0" collapsed="false">
      <c r="A2" s="3" t="s">
        <v>182</v>
      </c>
    </row>
    <row r="3" customFormat="false" ht="31.5" hidden="false" customHeight="true" outlineLevel="0" collapsed="false">
      <c r="A3" s="19" t="s">
        <v>44</v>
      </c>
      <c r="B3" s="19" t="s">
        <v>45</v>
      </c>
      <c r="C3" s="19" t="s">
        <v>183</v>
      </c>
      <c r="D3" s="19" t="s">
        <v>47</v>
      </c>
      <c r="E3" s="19" t="s">
        <v>51</v>
      </c>
      <c r="F3" s="19" t="s">
        <v>184</v>
      </c>
      <c r="G3" s="19" t="s">
        <v>185</v>
      </c>
      <c r="H3" s="20" t="s">
        <v>186</v>
      </c>
      <c r="I3" s="20" t="s">
        <v>187</v>
      </c>
      <c r="J3" s="20" t="s">
        <v>188</v>
      </c>
      <c r="K3" s="20" t="s">
        <v>189</v>
      </c>
      <c r="L3" s="20" t="s">
        <v>190</v>
      </c>
      <c r="M3" s="20" t="s">
        <v>191</v>
      </c>
      <c r="N3" s="20" t="s">
        <v>192</v>
      </c>
      <c r="O3" s="20" t="s">
        <v>193</v>
      </c>
      <c r="P3" s="20" t="s">
        <v>194</v>
      </c>
      <c r="Q3" s="19" t="s">
        <v>195</v>
      </c>
      <c r="R3" s="19" t="s">
        <v>196</v>
      </c>
    </row>
    <row r="5" customFormat="false" ht="39.75" hidden="false" customHeight="true" outlineLevel="0" collapsed="false">
      <c r="A5" s="21" t="n">
        <v>1</v>
      </c>
      <c r="B5" s="22" t="str">
        <f aca="false">IF(케이스목록!$B5="","",케이스목록!$B5)</f>
        <v>품목분류2과-4285</v>
      </c>
      <c r="C5" s="23" t="str">
        <f aca="false">IF(케이스목록!$E5="","",케이스목록!$E5)</f>
        <v>도로에 쌓인 눈 또는 결빙 등의 제거를 위한 액상 제설제로, 무수염화칼슘, 염화나트륨, 글리세린, 글루콘산소다, pH 조정제, 물로 조제한 액상</v>
      </c>
      <c r="D5" s="24" t="str">
        <f aca="false">IF(케이스목록!$D5="","",케이스목록!$D5)</f>
        <v>3820002000</v>
      </c>
      <c r="E5" s="22" t="str">
        <f aca="false">IF(케이스목록!$H5="","",케이스목록!$H5)</f>
        <v>X</v>
      </c>
      <c r="F5" s="15" t="s">
        <v>67</v>
      </c>
      <c r="G5" s="15" t="s">
        <v>60</v>
      </c>
      <c r="H5" s="13" t="s">
        <v>56</v>
      </c>
      <c r="I5" s="21" t="n">
        <f aca="false">IF(OR($D5="",$H5=""),"",IF(LEFT(SUBSTITUTE(SUBSTITUTE(SUBSTITUTE(SUBSTITUTE(SUBSTITUTE($D5,".",""),"-","")," ","")," ",""),CHAR(9),""),4)=LEFT(SUBSTITUTE(SUBSTITUTE(SUBSTITUTE(SUBSTITUTE(SUBSTITUTE($H5,".",""),"-","")," ","")," ",""),CHAR(9),""),4),1,0))</f>
        <v>1</v>
      </c>
      <c r="J5" s="21" t="n">
        <f aca="false">IF(OR($D5="",$H5=""),"",IF(LEFT(SUBSTITUTE(SUBSTITUTE(SUBSTITUTE(SUBSTITUTE(SUBSTITUTE($D5,".",""),"-","")," ","")," ",""),CHAR(9),""),6)=LEFT(SUBSTITUTE(SUBSTITUTE(SUBSTITUTE(SUBSTITUTE(SUBSTITUTE($H5,".",""),"-","")," ","")," ",""),CHAR(9),""),6),1,0))</f>
        <v>1</v>
      </c>
      <c r="K5" s="21" t="n">
        <f aca="false">IF(OR($D5="",$H5=""),"",IF(SUBSTITUTE(SUBSTITUTE(SUBSTITUTE(SUBSTITUTE(SUBSTITUTE($D5,".",""),"-","")," ","")," ",""),CHAR(9),"")=SUBSTITUTE(SUBSTITUTE(SUBSTITUTE(SUBSTITUTE(SUBSTITUTE($H5,".",""),"-","")," ","")," ",""),CHAR(9),""),1,0))</f>
        <v>1</v>
      </c>
      <c r="L5" s="13" t="s">
        <v>56</v>
      </c>
      <c r="M5" s="13" t="s">
        <v>197</v>
      </c>
      <c r="N5" s="13" t="s">
        <v>198</v>
      </c>
      <c r="O5" s="21" t="n">
        <f aca="false">IF(OR($D5="",$L5=""),"",IF(LEFT(SUBSTITUTE(SUBSTITUTE(SUBSTITUTE(SUBSTITUTE(SUBSTITUTE($D5,".",""),"-","")," ","")," ",""),CHAR(9),""),6)=LEFT(SUBSTITUTE(SUBSTITUTE(SUBSTITUTE(SUBSTITUTE(SUBSTITUTE($L5,".",""),"-","")," ","")," ",""),CHAR(9),""),6),1,0))</f>
        <v>1</v>
      </c>
      <c r="P5" s="21" t="n">
        <f aca="false">IF(OR($D5="",$L5=""),"",IF(OR(LEFT(SUBSTITUTE(SUBSTITUTE(SUBSTITUTE(SUBSTITUTE(SUBSTITUTE($D5,".",""),"-","")," ","")," ",""),CHAR(9),""),6)=LEFT(SUBSTITUTE(SUBSTITUTE(SUBSTITUTE(SUBSTITUTE(SUBSTITUTE($L5,".",""),"-","")," ","")," ",""),CHAR(9),""),6),LEFT(SUBSTITUTE(SUBSTITUTE(SUBSTITUTE(SUBSTITUTE(SUBSTITUTE($D5,".",""),"-","")," ","")," ",""),CHAR(9),""),6)=LEFT(SUBSTITUTE(SUBSTITUTE(SUBSTITUTE(SUBSTITUTE(SUBSTITUTE($M5,".",""),"-","")," ","")," ",""),CHAR(9),""),6),LEFT(SUBSTITUTE(SUBSTITUTE(SUBSTITUTE(SUBSTITUTE(SUBSTITUTE($D5,".",""),"-","")," ","")," ",""),CHAR(9),""),6)=LEFT(SUBSTITUTE(SUBSTITUTE(SUBSTITUTE(SUBSTITUTE(SUBSTITUTE($N5,".",""),"-","")," ","")," ",""),CHAR(9),""),6)),1,0))</f>
        <v>1</v>
      </c>
      <c r="Q5" s="15"/>
      <c r="R5" s="16" t="s">
        <v>199</v>
      </c>
    </row>
    <row r="6" customFormat="false" ht="39.75" hidden="false" customHeight="true" outlineLevel="0" collapsed="false">
      <c r="A6" s="21" t="n">
        <v>2</v>
      </c>
      <c r="B6" s="22" t="str">
        <f aca="false">IF(케이스목록!$B6="","",케이스목록!$B6)</f>
        <v>품목분류2과-4144</v>
      </c>
      <c r="C6" s="23" t="str">
        <f aca="false">IF(케이스목록!$E6="","",케이스목록!$E6)</f>
        <v>Silica sol, Methyltrimethoxysilane, 안료(Titanium dioxide, Copper chromite black spinel 등), Isopropyl alcohol, Formic acid, Water로 혼합·조제된 회색계 점조 액상. 용도: 프라이팬 등의 세라믹 코팅(제시한 카탈로그에서 경화 온도 180~300℃)</v>
      </c>
      <c r="D6" s="24" t="str">
        <f aca="false">IF(케이스목록!$D6="","",케이스목록!$D6)</f>
        <v>3207209000</v>
      </c>
      <c r="E6" s="22" t="str">
        <f aca="false">IF(케이스목록!$H6="","",케이스목록!$H6)</f>
        <v>O</v>
      </c>
      <c r="F6" s="15" t="s">
        <v>60</v>
      </c>
      <c r="G6" s="15" t="s">
        <v>60</v>
      </c>
      <c r="H6" s="13" t="s">
        <v>197</v>
      </c>
      <c r="I6" s="21" t="n">
        <f aca="false">IF(OR($D6="",$H6=""),"",IF(LEFT(SUBSTITUTE(SUBSTITUTE(SUBSTITUTE(SUBSTITUTE(SUBSTITUTE($D6,".",""),"-","")," ","")," ",""),CHAR(9),""),4)=LEFT(SUBSTITUTE(SUBSTITUTE(SUBSTITUTE(SUBSTITUTE(SUBSTITUTE($H6,".",""),"-","")," ","")," ",""),CHAR(9),""),4),1,0))</f>
        <v>0</v>
      </c>
      <c r="J6" s="21" t="n">
        <f aca="false">IF(OR($D6="",$H6=""),"",IF(LEFT(SUBSTITUTE(SUBSTITUTE(SUBSTITUTE(SUBSTITUTE(SUBSTITUTE($D6,".",""),"-","")," ","")," ",""),CHAR(9),""),6)=LEFT(SUBSTITUTE(SUBSTITUTE(SUBSTITUTE(SUBSTITUTE(SUBSTITUTE($H6,".",""),"-","")," ","")," ",""),CHAR(9),""),6),1,0))</f>
        <v>0</v>
      </c>
      <c r="K6" s="21" t="n">
        <f aca="false">IF(OR($D6="",$H6=""),"",IF(SUBSTITUTE(SUBSTITUTE(SUBSTITUTE(SUBSTITUTE(SUBSTITUTE($D6,".",""),"-","")," ","")," ",""),CHAR(9),"")=SUBSTITUTE(SUBSTITUTE(SUBSTITUTE(SUBSTITUTE(SUBSTITUTE($H6,".",""),"-","")," ","")," ",""),CHAR(9),""),1,0))</f>
        <v>0</v>
      </c>
      <c r="L6" s="13" t="s">
        <v>197</v>
      </c>
      <c r="M6" s="13" t="s">
        <v>200</v>
      </c>
      <c r="N6" s="13" t="s">
        <v>201</v>
      </c>
      <c r="O6" s="21" t="n">
        <f aca="false">IF(OR($D6="",$L6=""),"",IF(LEFT(SUBSTITUTE(SUBSTITUTE(SUBSTITUTE(SUBSTITUTE(SUBSTITUTE($D6,".",""),"-","")," ","")," ",""),CHAR(9),""),6)=LEFT(SUBSTITUTE(SUBSTITUTE(SUBSTITUTE(SUBSTITUTE(SUBSTITUTE($L6,".",""),"-","")," ","")," ",""),CHAR(9),""),6),1,0))</f>
        <v>0</v>
      </c>
      <c r="P6" s="21" t="n">
        <f aca="false">IF(OR($D6="",$L6=""),"",IF(OR(LEFT(SUBSTITUTE(SUBSTITUTE(SUBSTITUTE(SUBSTITUTE(SUBSTITUTE($D6,".",""),"-","")," ","")," ",""),CHAR(9),""),6)=LEFT(SUBSTITUTE(SUBSTITUTE(SUBSTITUTE(SUBSTITUTE(SUBSTITUTE($L6,".",""),"-","")," ","")," ",""),CHAR(9),""),6),LEFT(SUBSTITUTE(SUBSTITUTE(SUBSTITUTE(SUBSTITUTE(SUBSTITUTE($D6,".",""),"-","")," ","")," ",""),CHAR(9),""),6)=LEFT(SUBSTITUTE(SUBSTITUTE(SUBSTITUTE(SUBSTITUTE(SUBSTITUTE($M6,".",""),"-","")," ","")," ",""),CHAR(9),""),6),LEFT(SUBSTITUTE(SUBSTITUTE(SUBSTITUTE(SUBSTITUTE(SUBSTITUTE($D6,".",""),"-","")," ","")," ",""),CHAR(9),""),6)=LEFT(SUBSTITUTE(SUBSTITUTE(SUBSTITUTE(SUBSTITUTE(SUBSTITUTE($N6,".",""),"-","")," ","")," ",""),CHAR(9),""),6)),1,0))</f>
        <v>0</v>
      </c>
      <c r="Q6" s="14" t="s">
        <v>202</v>
      </c>
      <c r="R6" s="12" t="s">
        <v>203</v>
      </c>
    </row>
    <row r="7" customFormat="false" ht="39.75" hidden="false" customHeight="true" outlineLevel="0" collapsed="false">
      <c r="A7" s="21" t="n">
        <v>3</v>
      </c>
      <c r="B7" s="22" t="str">
        <f aca="false">IF(케이스목록!$B7="","",케이스목록!$B7)</f>
        <v>품목분류2과-3140</v>
      </c>
      <c r="C7" s="23" t="str">
        <f aca="false">IF(케이스목록!$E7="","",케이스목록!$E7)</f>
        <v>파쇄상의 녹차에 소량의 합성향과 자스민꽃을 혼합하여 수지제 팩에 소매포장한 것(내용량 150g). 용도: 온수에 침출하여 음용</v>
      </c>
      <c r="D7" s="24" t="str">
        <f aca="false">IF(케이스목록!$D7="","",케이스목록!$D7)</f>
        <v>0902100000</v>
      </c>
      <c r="E7" s="22" t="str">
        <f aca="false">IF(케이스목록!$H7="","",케이스목록!$H7)</f>
        <v>O</v>
      </c>
      <c r="F7" s="15" t="s">
        <v>60</v>
      </c>
      <c r="G7" s="15" t="s">
        <v>60</v>
      </c>
      <c r="H7" s="13" t="s">
        <v>204</v>
      </c>
      <c r="I7" s="21" t="n">
        <f aca="false">IF(OR($D7="",$H7=""),"",IF(LEFT(SUBSTITUTE(SUBSTITUTE(SUBSTITUTE(SUBSTITUTE(SUBSTITUTE($D7,".",""),"-","")," ","")," ",""),CHAR(9),""),4)=LEFT(SUBSTITUTE(SUBSTITUTE(SUBSTITUTE(SUBSTITUTE(SUBSTITUTE($H7,".",""),"-","")," ","")," ",""),CHAR(9),""),4),1,0))</f>
        <v>1</v>
      </c>
      <c r="J7" s="21" t="n">
        <f aca="false">IF(OR($D7="",$H7=""),"",IF(LEFT(SUBSTITUTE(SUBSTITUTE(SUBSTITUTE(SUBSTITUTE(SUBSTITUTE($D7,".",""),"-","")," ","")," ",""),CHAR(9),""),6)=LEFT(SUBSTITUTE(SUBSTITUTE(SUBSTITUTE(SUBSTITUTE(SUBSTITUTE($H7,".",""),"-","")," ","")," ",""),CHAR(9),""),6),1,0))</f>
        <v>1</v>
      </c>
      <c r="K7" s="21" t="n">
        <f aca="false">IF(OR($D7="",$H7=""),"",IF(SUBSTITUTE(SUBSTITUTE(SUBSTITUTE(SUBSTITUTE(SUBSTITUTE($D7,".",""),"-","")," ","")," ",""),CHAR(9),"")=SUBSTITUTE(SUBSTITUTE(SUBSTITUTE(SUBSTITUTE(SUBSTITUTE($H7,".",""),"-","")," ","")," ",""),CHAR(9),""),1,0))</f>
        <v>0</v>
      </c>
      <c r="L7" s="13" t="s">
        <v>204</v>
      </c>
      <c r="M7" s="13" t="s">
        <v>205</v>
      </c>
      <c r="N7" s="13" t="s">
        <v>206</v>
      </c>
      <c r="O7" s="21" t="n">
        <f aca="false">IF(OR($D7="",$L7=""),"",IF(LEFT(SUBSTITUTE(SUBSTITUTE(SUBSTITUTE(SUBSTITUTE(SUBSTITUTE($D7,".",""),"-","")," ","")," ",""),CHAR(9),""),6)=LEFT(SUBSTITUTE(SUBSTITUTE(SUBSTITUTE(SUBSTITUTE(SUBSTITUTE($L7,".",""),"-","")," ","")," ",""),CHAR(9),""),6),1,0))</f>
        <v>1</v>
      </c>
      <c r="P7" s="21" t="n">
        <f aca="false">IF(OR($D7="",$L7=""),"",IF(OR(LEFT(SUBSTITUTE(SUBSTITUTE(SUBSTITUTE(SUBSTITUTE(SUBSTITUTE($D7,".",""),"-","")," ","")," ",""),CHAR(9),""),6)=LEFT(SUBSTITUTE(SUBSTITUTE(SUBSTITUTE(SUBSTITUTE(SUBSTITUTE($L7,".",""),"-","")," ","")," ",""),CHAR(9),""),6),LEFT(SUBSTITUTE(SUBSTITUTE(SUBSTITUTE(SUBSTITUTE(SUBSTITUTE($D7,".",""),"-","")," ","")," ",""),CHAR(9),""),6)=LEFT(SUBSTITUTE(SUBSTITUTE(SUBSTITUTE(SUBSTITUTE(SUBSTITUTE($M7,".",""),"-","")," ","")," ",""),CHAR(9),""),6),LEFT(SUBSTITUTE(SUBSTITUTE(SUBSTITUTE(SUBSTITUTE(SUBSTITUTE($D7,".",""),"-","")," ","")," ",""),CHAR(9),""),6)=LEFT(SUBSTITUTE(SUBSTITUTE(SUBSTITUTE(SUBSTITUTE(SUBSTITUTE($N7,".",""),"-","")," ","")," ",""),CHAR(9),""),6)),1,0))</f>
        <v>1</v>
      </c>
      <c r="Q7" s="14" t="s">
        <v>207</v>
      </c>
      <c r="R7" s="16" t="s">
        <v>208</v>
      </c>
    </row>
    <row r="8" customFormat="false" ht="39.75" hidden="false" customHeight="true" outlineLevel="0" collapsed="false">
      <c r="A8" s="21" t="n">
        <v>4</v>
      </c>
      <c r="B8" s="22" t="str">
        <f aca="false">IF(케이스목록!$B8="","",케이스목록!$B8)</f>
        <v>품목분류1과-3731</v>
      </c>
      <c r="C8" s="23" t="str">
        <f aca="false">IF(케이스목록!$E8="","",케이스목록!$E8)</f>
        <v>건담 게임용 카드 1묶음(50장), 건담 조립용 키트 3종, 설명서 2매(게임용·조립용)가 소매포장되어 제시된 물품. 카드에 표시된 공격력과 수비력을 비교해 승부를 내는 방식으로 게임을 진행함. 조립하여 완성한 미니어처 3종은 카드게임 규칙과 무관한 연출용. 업체 제시 가격비중은 카드 약 250엔, 조립키트 약 480엔</v>
      </c>
      <c r="D8" s="24" t="str">
        <f aca="false">IF(케이스목록!$D8="","",케이스목록!$D8)</f>
        <v>9504400000</v>
      </c>
      <c r="E8" s="22" t="str">
        <f aca="false">IF(케이스목록!$H8="","",케이스목록!$H8)</f>
        <v>O</v>
      </c>
      <c r="F8" s="15" t="s">
        <v>60</v>
      </c>
      <c r="G8" s="15" t="s">
        <v>60</v>
      </c>
      <c r="H8" s="13" t="s">
        <v>209</v>
      </c>
      <c r="I8" s="21" t="n">
        <f aca="false">IF(OR($D8="",$H8=""),"",IF(LEFT(SUBSTITUTE(SUBSTITUTE(SUBSTITUTE(SUBSTITUTE(SUBSTITUTE($D8,".",""),"-","")," ","")," ",""),CHAR(9),""),4)=LEFT(SUBSTITUTE(SUBSTITUTE(SUBSTITUTE(SUBSTITUTE(SUBSTITUTE($H8,".",""),"-","")," ","")," ",""),CHAR(9),""),4),1,0))</f>
        <v>1</v>
      </c>
      <c r="J8" s="21" t="n">
        <f aca="false">IF(OR($D8="",$H8=""),"",IF(LEFT(SUBSTITUTE(SUBSTITUTE(SUBSTITUTE(SUBSTITUTE(SUBSTITUTE($D8,".",""),"-","")," ","")," ",""),CHAR(9),""),6)=LEFT(SUBSTITUTE(SUBSTITUTE(SUBSTITUTE(SUBSTITUTE(SUBSTITUTE($H8,".",""),"-","")," ","")," ",""),CHAR(9),""),6),1,0))</f>
        <v>0</v>
      </c>
      <c r="K8" s="21" t="n">
        <f aca="false">IF(OR($D8="",$H8=""),"",IF(SUBSTITUTE(SUBSTITUTE(SUBSTITUTE(SUBSTITUTE(SUBSTITUTE($D8,".",""),"-","")," ","")," ",""),CHAR(9),"")=SUBSTITUTE(SUBSTITUTE(SUBSTITUTE(SUBSTITUTE(SUBSTITUTE($H8,".",""),"-","")," ","")," ",""),CHAR(9),""),1,0))</f>
        <v>0</v>
      </c>
      <c r="L8" s="13" t="s">
        <v>209</v>
      </c>
      <c r="M8" s="13" t="s">
        <v>210</v>
      </c>
      <c r="N8" s="13" t="s">
        <v>75</v>
      </c>
      <c r="O8" s="21" t="n">
        <f aca="false">IF(OR($D8="",$L8=""),"",IF(LEFT(SUBSTITUTE(SUBSTITUTE(SUBSTITUTE(SUBSTITUTE(SUBSTITUTE($D8,".",""),"-","")," ","")," ",""),CHAR(9),""),6)=LEFT(SUBSTITUTE(SUBSTITUTE(SUBSTITUTE(SUBSTITUTE(SUBSTITUTE($L8,".",""),"-","")," ","")," ",""),CHAR(9),""),6),1,0))</f>
        <v>0</v>
      </c>
      <c r="P8" s="21" t="n">
        <f aca="false">IF(OR($D8="",$L8=""),"",IF(OR(LEFT(SUBSTITUTE(SUBSTITUTE(SUBSTITUTE(SUBSTITUTE(SUBSTITUTE($D8,".",""),"-","")," ","")," ",""),CHAR(9),""),6)=LEFT(SUBSTITUTE(SUBSTITUTE(SUBSTITUTE(SUBSTITUTE(SUBSTITUTE($L8,".",""),"-","")," ","")," ",""),CHAR(9),""),6),LEFT(SUBSTITUTE(SUBSTITUTE(SUBSTITUTE(SUBSTITUTE(SUBSTITUTE($D8,".",""),"-","")," ","")," ",""),CHAR(9),""),6)=LEFT(SUBSTITUTE(SUBSTITUTE(SUBSTITUTE(SUBSTITUTE(SUBSTITUTE($M8,".",""),"-","")," ","")," ",""),CHAR(9),""),6),LEFT(SUBSTITUTE(SUBSTITUTE(SUBSTITUTE(SUBSTITUTE(SUBSTITUTE($D8,".",""),"-","")," ","")," ",""),CHAR(9),""),6)=LEFT(SUBSTITUTE(SUBSTITUTE(SUBSTITUTE(SUBSTITUTE(SUBSTITUTE($N8,".",""),"-","")," ","")," ",""),CHAR(9),""),6)),1,0))</f>
        <v>1</v>
      </c>
      <c r="Q8" s="14" t="s">
        <v>211</v>
      </c>
      <c r="R8" s="12" t="s">
        <v>212</v>
      </c>
    </row>
    <row r="9" customFormat="false" ht="39.75" hidden="false" customHeight="true" outlineLevel="0" collapsed="false">
      <c r="A9" s="21" t="n">
        <v>5</v>
      </c>
      <c r="B9" s="22" t="str">
        <f aca="false">IF(케이스목록!$B9="","",케이스목록!$B9)</f>
        <v>품목분류2과-31881</v>
      </c>
      <c r="C9" s="23" t="str">
        <f aca="false">IF(케이스목록!$E9="","",케이스목록!$E9)</f>
        <v>아지드화나트륨(Sodium azide, CAS No. 26628-22-8) 0.1% 미만을 물에 용해한 무색투명한 액상을 플라스틱 용기에 소매포장한 것(내용량 3,300ml). 용도: 시험용 검체 주입 간 검체 바늘 및 컬럼 세척 등</v>
      </c>
      <c r="D9" s="24" t="str">
        <f aca="false">IF(케이스목록!$D9="","",케이스목록!$D9)</f>
        <v>2850003000</v>
      </c>
      <c r="E9" s="22" t="str">
        <f aca="false">IF(케이스목록!$H9="","",케이스목록!$H9)</f>
        <v>O</v>
      </c>
      <c r="F9" s="15" t="s">
        <v>60</v>
      </c>
      <c r="G9" s="15" t="s">
        <v>60</v>
      </c>
      <c r="H9" s="13" t="s">
        <v>213</v>
      </c>
      <c r="I9" s="21" t="n">
        <f aca="false">IF(OR($D9="",$H9=""),"",IF(LEFT(SUBSTITUTE(SUBSTITUTE(SUBSTITUTE(SUBSTITUTE(SUBSTITUTE($D9,".",""),"-","")," ","")," ",""),CHAR(9),""),4)=LEFT(SUBSTITUTE(SUBSTITUTE(SUBSTITUTE(SUBSTITUTE(SUBSTITUTE($H9,".",""),"-","")," ","")," ",""),CHAR(9),""),4),1,0))</f>
        <v>0</v>
      </c>
      <c r="J9" s="21" t="n">
        <f aca="false">IF(OR($D9="",$H9=""),"",IF(LEFT(SUBSTITUTE(SUBSTITUTE(SUBSTITUTE(SUBSTITUTE(SUBSTITUTE($D9,".",""),"-","")," ","")," ",""),CHAR(9),""),6)=LEFT(SUBSTITUTE(SUBSTITUTE(SUBSTITUTE(SUBSTITUTE(SUBSTITUTE($H9,".",""),"-","")," ","")," ",""),CHAR(9),""),6),1,0))</f>
        <v>0</v>
      </c>
      <c r="K9" s="21" t="n">
        <f aca="false">IF(OR($D9="",$H9=""),"",IF(SUBSTITUTE(SUBSTITUTE(SUBSTITUTE(SUBSTITUTE(SUBSTITUTE($D9,".",""),"-","")," ","")," ",""),CHAR(9),"")=SUBSTITUTE(SUBSTITUTE(SUBSTITUTE(SUBSTITUTE(SUBSTITUTE($H9,".",""),"-","")," ","")," ",""),CHAR(9),""),1,0))</f>
        <v>0</v>
      </c>
      <c r="L9" s="13" t="s">
        <v>213</v>
      </c>
      <c r="M9" s="13" t="s">
        <v>214</v>
      </c>
      <c r="N9" s="13" t="s">
        <v>197</v>
      </c>
      <c r="O9" s="21" t="n">
        <f aca="false">IF(OR($D9="",$L9=""),"",IF(LEFT(SUBSTITUTE(SUBSTITUTE(SUBSTITUTE(SUBSTITUTE(SUBSTITUTE($D9,".",""),"-","")," ","")," ",""),CHAR(9),""),6)=LEFT(SUBSTITUTE(SUBSTITUTE(SUBSTITUTE(SUBSTITUTE(SUBSTITUTE($L9,".",""),"-","")," ","")," ",""),CHAR(9),""),6),1,0))</f>
        <v>0</v>
      </c>
      <c r="P9" s="21" t="n">
        <f aca="false">IF(OR($D9="",$L9=""),"",IF(OR(LEFT(SUBSTITUTE(SUBSTITUTE(SUBSTITUTE(SUBSTITUTE(SUBSTITUTE($D9,".",""),"-","")," ","")," ",""),CHAR(9),""),6)=LEFT(SUBSTITUTE(SUBSTITUTE(SUBSTITUTE(SUBSTITUTE(SUBSTITUTE($L9,".",""),"-","")," ","")," ",""),CHAR(9),""),6),LEFT(SUBSTITUTE(SUBSTITUTE(SUBSTITUTE(SUBSTITUTE(SUBSTITUTE($D9,".",""),"-","")," ","")," ",""),CHAR(9),""),6)=LEFT(SUBSTITUTE(SUBSTITUTE(SUBSTITUTE(SUBSTITUTE(SUBSTITUTE($M9,".",""),"-","")," ","")," ",""),CHAR(9),""),6),LEFT(SUBSTITUTE(SUBSTITUTE(SUBSTITUTE(SUBSTITUTE(SUBSTITUTE($D9,".",""),"-","")," ","")," ",""),CHAR(9),""),6)=LEFT(SUBSTITUTE(SUBSTITUTE(SUBSTITUTE(SUBSTITUTE(SUBSTITUTE($N9,".",""),"-","")," ","")," ",""),CHAR(9),""),6)),1,0))</f>
        <v>1</v>
      </c>
      <c r="Q9" s="14" t="s">
        <v>202</v>
      </c>
      <c r="R9" s="12" t="s">
        <v>215</v>
      </c>
    </row>
    <row r="10" customFormat="false" ht="39.75" hidden="false" customHeight="true" outlineLevel="0" collapsed="false">
      <c r="A10" s="21" t="n">
        <v>6</v>
      </c>
      <c r="B10" s="22" t="str">
        <f aca="false">IF(케이스목록!$B10="","",케이스목록!$B10)</f>
        <v>품목분류3과-3310</v>
      </c>
      <c r="C10" s="23" t="str">
        <f aca="false">IF(케이스목록!$E10="","",케이스목록!$E10)</f>
        <v>ㅇ 실리콘(Silicone) 재질의 호스 또는 PTFE(Polytetrafluoroethylene) 재질의 호스로서, 양 끝단에는 스테인리스 스틸 연결구가 부착됨
- (용도) 유체 이송(배지, 약액, 최종원액 등)용으로 제약(백신) 제조공정*의 여러 장비**에 연결되어 사용됨
* 세포에서 항체를 만들고, 불순물과 바이러스를 제거한 뒤 농축‧조성 조정을 거쳐 최종 용기에 무균 충전하는 공정
** Chromatography skid, Virus filter skid, UF/DF skid, Filling station
ㅇ SXW : 약 길이 1200㎜, 직경 48㎜, 파열압 0.345 ∼ 1.03(㎫), 실리콘재질, 스테인리스 스틸 와이어로 보강됨
※ 제조사 홈페이지: “의약품, 화장품 및 식품이송에 적합”</v>
      </c>
      <c r="D10" s="24" t="str">
        <f aca="false">IF(케이스목록!$D10="","",케이스목록!$D10)</f>
        <v>3917399000</v>
      </c>
      <c r="E10" s="22" t="str">
        <f aca="false">IF(케이스목록!$H10="","",케이스목록!$H10)</f>
        <v>O</v>
      </c>
      <c r="F10" s="15" t="s">
        <v>60</v>
      </c>
      <c r="G10" s="15" t="s">
        <v>60</v>
      </c>
      <c r="H10" s="13" t="s">
        <v>216</v>
      </c>
      <c r="I10" s="21" t="n">
        <f aca="false">IF(OR($D10="",$H10=""),"",IF(LEFT(SUBSTITUTE(SUBSTITUTE(SUBSTITUTE(SUBSTITUTE(SUBSTITUTE($D10,".",""),"-","")," ","")," ",""),CHAR(9),""),4)=LEFT(SUBSTITUTE(SUBSTITUTE(SUBSTITUTE(SUBSTITUTE(SUBSTITUTE($H10,".",""),"-","")," ","")," ",""),CHAR(9),""),4),1,0))</f>
        <v>1</v>
      </c>
      <c r="J10" s="21" t="n">
        <f aca="false">IF(OR($D10="",$H10=""),"",IF(LEFT(SUBSTITUTE(SUBSTITUTE(SUBSTITUTE(SUBSTITUTE(SUBSTITUTE($D10,".",""),"-","")," ","")," ",""),CHAR(9),""),6)=LEFT(SUBSTITUTE(SUBSTITUTE(SUBSTITUTE(SUBSTITUTE(SUBSTITUTE($H10,".",""),"-","")," ","")," ",""),CHAR(9),""),6),1,0))</f>
        <v>1</v>
      </c>
      <c r="K10" s="21" t="n">
        <f aca="false">IF(OR($D10="",$H10=""),"",IF(SUBSTITUTE(SUBSTITUTE(SUBSTITUTE(SUBSTITUTE(SUBSTITUTE($D10,".",""),"-","")," ","")," ",""),CHAR(9),"")=SUBSTITUTE(SUBSTITUTE(SUBSTITUTE(SUBSTITUTE(SUBSTITUTE($H10,".",""),"-","")," ","")," ",""),CHAR(9),""),1,0))</f>
        <v>1</v>
      </c>
      <c r="L10" s="13" t="s">
        <v>216</v>
      </c>
      <c r="M10" s="13" t="s">
        <v>217</v>
      </c>
      <c r="N10" s="13" t="s">
        <v>218</v>
      </c>
      <c r="O10" s="21" t="n">
        <f aca="false">IF(OR($D10="",$L10=""),"",IF(LEFT(SUBSTITUTE(SUBSTITUTE(SUBSTITUTE(SUBSTITUTE(SUBSTITUTE($D10,".",""),"-","")," ","")," ",""),CHAR(9),""),6)=LEFT(SUBSTITUTE(SUBSTITUTE(SUBSTITUTE(SUBSTITUTE(SUBSTITUTE($L10,".",""),"-","")," ","")," ",""),CHAR(9),""),6),1,0))</f>
        <v>1</v>
      </c>
      <c r="P10" s="21" t="n">
        <f aca="false">IF(OR($D10="",$L10=""),"",IF(OR(LEFT(SUBSTITUTE(SUBSTITUTE(SUBSTITUTE(SUBSTITUTE(SUBSTITUTE($D10,".",""),"-","")," ","")," ",""),CHAR(9),""),6)=LEFT(SUBSTITUTE(SUBSTITUTE(SUBSTITUTE(SUBSTITUTE(SUBSTITUTE($L10,".",""),"-","")," ","")," ",""),CHAR(9),""),6),LEFT(SUBSTITUTE(SUBSTITUTE(SUBSTITUTE(SUBSTITUTE(SUBSTITUTE($D10,".",""),"-","")," ","")," ",""),CHAR(9),""),6)=LEFT(SUBSTITUTE(SUBSTITUTE(SUBSTITUTE(SUBSTITUTE(SUBSTITUTE($M10,".",""),"-","")," ","")," ",""),CHAR(9),""),6),LEFT(SUBSTITUTE(SUBSTITUTE(SUBSTITUTE(SUBSTITUTE(SUBSTITUTE($D10,".",""),"-","")," ","")," ",""),CHAR(9),""),6)=LEFT(SUBSTITUTE(SUBSTITUTE(SUBSTITUTE(SUBSTITUTE(SUBSTITUTE($N10,".",""),"-","")," ","")," ",""),CHAR(9),""),6)),1,0))</f>
        <v>1</v>
      </c>
      <c r="Q10" s="15"/>
      <c r="R10" s="16"/>
    </row>
    <row r="11" customFormat="false" ht="39.75" hidden="false" customHeight="true" outlineLevel="0" collapsed="false">
      <c r="A11" s="21" t="n">
        <v>7</v>
      </c>
      <c r="B11" s="22" t="str">
        <f aca="false">IF(케이스목록!$B11="","",케이스목록!$B11)</f>
        <v>품목분류3과-3040</v>
      </c>
      <c r="C11" s="23" t="str">
        <f aca="false">IF(케이스목록!$E11="","",케이스목록!$E11)</f>
        <v>ㅇ 물품개요
- 화장품 CUSHION COMPACT 용기를 구성하는 ① 외용기, ② 내용기, ③ 매쉬링(리드씰 포함)이 미조립 상태로 제시, 각 구성요소를 결합하면 케이스 완성품이 됨 (파운데이션 내용물 미포함)
- 구성요소는 각 개별박스에 벌크 포장된 형태로 함께 제시
- 구성요소
① 외용기(ABS, AS, GLASS) : 내부에 거울이 부착된 화장품 외부 용기
② 내용기(PP) : 화장품(파운데이션)을 담는 내부 용기
③ 매쉬링(리드씰 포함)(NYLON, PP/PE, AL) : 화장품이 균일하게 도포되도록 돕는 매쉬망과 고정링에 제품보호용 씰(제거후 사용)이 부착됨
ㅇ 수입 후 제조공정
- 원료 칭량(Weighing) → 교반 → 믹싱 → 내용기 충전(몰드진입, 용기공급, 충전, 매쉬망, 실링, 라벨링, 배출) → 외용기 결합 → 포장</v>
      </c>
      <c r="D11" s="24" t="str">
        <f aca="false">IF(케이스목록!$D11="","",케이스목록!$D11)</f>
        <v>3923100000</v>
      </c>
      <c r="E11" s="22" t="str">
        <f aca="false">IF(케이스목록!$H11="","",케이스목록!$H11)</f>
        <v>O</v>
      </c>
      <c r="F11" s="15" t="s">
        <v>60</v>
      </c>
      <c r="G11" s="15" t="s">
        <v>60</v>
      </c>
      <c r="H11" s="13" t="s">
        <v>219</v>
      </c>
      <c r="I11" s="21" t="n">
        <f aca="false">IF(OR($D11="",$H11=""),"",IF(LEFT(SUBSTITUTE(SUBSTITUTE(SUBSTITUTE(SUBSTITUTE(SUBSTITUTE($D11,".",""),"-","")," ","")," ",""),CHAR(9),""),4)=LEFT(SUBSTITUTE(SUBSTITUTE(SUBSTITUTE(SUBSTITUTE(SUBSTITUTE($H11,".",""),"-","")," ","")," ",""),CHAR(9),""),4),1,0))</f>
        <v>1</v>
      </c>
      <c r="J11" s="21" t="n">
        <f aca="false">IF(OR($D11="",$H11=""),"",IF(LEFT(SUBSTITUTE(SUBSTITUTE(SUBSTITUTE(SUBSTITUTE(SUBSTITUTE($D11,".",""),"-","")," ","")," ",""),CHAR(9),""),6)=LEFT(SUBSTITUTE(SUBSTITUTE(SUBSTITUTE(SUBSTITUTE(SUBSTITUTE($H11,".",""),"-","")," ","")," ",""),CHAR(9),""),6),1,0))</f>
        <v>0</v>
      </c>
      <c r="K11" s="21" t="n">
        <f aca="false">IF(OR($D11="",$H11=""),"",IF(SUBSTITUTE(SUBSTITUTE(SUBSTITUTE(SUBSTITUTE(SUBSTITUTE($D11,".",""),"-","")," ","")," ",""),CHAR(9),"")=SUBSTITUTE(SUBSTITUTE(SUBSTITUTE(SUBSTITUTE(SUBSTITUTE($H11,".",""),"-","")," ","")," ",""),CHAR(9),""),1,0))</f>
        <v>0</v>
      </c>
      <c r="L11" s="13" t="s">
        <v>219</v>
      </c>
      <c r="M11" s="13" t="s">
        <v>220</v>
      </c>
      <c r="N11" s="13" t="s">
        <v>221</v>
      </c>
      <c r="O11" s="21" t="n">
        <f aca="false">IF(OR($D11="",$L11=""),"",IF(LEFT(SUBSTITUTE(SUBSTITUTE(SUBSTITUTE(SUBSTITUTE(SUBSTITUTE($D11,".",""),"-","")," ","")," ",""),CHAR(9),""),6)=LEFT(SUBSTITUTE(SUBSTITUTE(SUBSTITUTE(SUBSTITUTE(SUBSTITUTE($L11,".",""),"-","")," ","")," ",""),CHAR(9),""),6),1,0))</f>
        <v>0</v>
      </c>
      <c r="P11" s="21" t="n">
        <f aca="false">IF(OR($D11="",$L11=""),"",IF(OR(LEFT(SUBSTITUTE(SUBSTITUTE(SUBSTITUTE(SUBSTITUTE(SUBSTITUTE($D11,".",""),"-","")," ","")," ",""),CHAR(9),""),6)=LEFT(SUBSTITUTE(SUBSTITUTE(SUBSTITUTE(SUBSTITUTE(SUBSTITUTE($L11,".",""),"-","")," ","")," ",""),CHAR(9),""),6),LEFT(SUBSTITUTE(SUBSTITUTE(SUBSTITUTE(SUBSTITUTE(SUBSTITUTE($D11,".",""),"-","")," ","")," ",""),CHAR(9),""),6)=LEFT(SUBSTITUTE(SUBSTITUTE(SUBSTITUTE(SUBSTITUTE(SUBSTITUTE($M11,".",""),"-","")," ","")," ",""),CHAR(9),""),6),LEFT(SUBSTITUTE(SUBSTITUTE(SUBSTITUTE(SUBSTITUTE(SUBSTITUTE($D11,".",""),"-","")," ","")," ",""),CHAR(9),""),6)=LEFT(SUBSTITUTE(SUBSTITUTE(SUBSTITUTE(SUBSTITUTE(SUBSTITUTE($N11,".",""),"-","")," ","")," ",""),CHAR(9),""),6)),1,0))</f>
        <v>0</v>
      </c>
      <c r="Q11" s="14" t="s">
        <v>211</v>
      </c>
      <c r="R11" s="16"/>
    </row>
    <row r="12" customFormat="false" ht="39.75" hidden="false" customHeight="true" outlineLevel="0" collapsed="false">
      <c r="A12" s="21" t="n">
        <v>8</v>
      </c>
      <c r="B12" s="22" t="str">
        <f aca="false">IF(케이스목록!$B12="","",케이스목록!$B12)</f>
        <v>품목분류4과-1253</v>
      </c>
      <c r="C12" s="23" t="str">
        <f aca="false">IF(케이스목록!$E12="","",케이스목록!$E12)</f>
        <v>ㅇ (개요) ① Polyurethane acrylate*(우레탄계 프리폴리머) 35~40%, ② 2-Propenoic acid reaction products with pentaerythritol(미반응원료) 10~15%, ③ Ethoxylated pentaerythritol tetraacrylate(점도조정제, 희석제) 50%로 구성된 무색투명한 점조액상
* 성분명 : 2-[[(1-Oxo-2-propenyl)oxy]methyl]-2-[[[[[[1,3,3-trimethyl-5- [[[3-[(1-oxo-2-propenyl)oxy]-2,2-bis[[(1-oxo-2-propenyl)oxy]methyl]propoxy]carbonyl]amino]cyclohexyl]methyl]amino]carbonyl]oxy]methyl]-1,3-propanediyl 2-propenoate
ㅇ (제조공정) 원료 투입 → 반응 → 여과 및 포장
ㅇ (원료)</v>
      </c>
      <c r="D12" s="24" t="str">
        <f aca="false">IF(케이스목록!$D12="","",케이스목록!$D12)</f>
        <v>3909500000</v>
      </c>
      <c r="E12" s="22" t="str">
        <f aca="false">IF(케이스목록!$H12="","",케이스목록!$H12)</f>
        <v>O</v>
      </c>
      <c r="F12" s="15" t="s">
        <v>60</v>
      </c>
      <c r="G12" s="15" t="s">
        <v>60</v>
      </c>
      <c r="H12" s="13" t="s">
        <v>222</v>
      </c>
      <c r="I12" s="21" t="n">
        <f aca="false">IF(OR($D12="",$H12=""),"",IF(LEFT(SUBSTITUTE(SUBSTITUTE(SUBSTITUTE(SUBSTITUTE(SUBSTITUTE($D12,".",""),"-","")," ","")," ",""),CHAR(9),""),4)=LEFT(SUBSTITUTE(SUBSTITUTE(SUBSTITUTE(SUBSTITUTE(SUBSTITUTE($H12,".",""),"-","")," ","")," ",""),CHAR(9),""),4),1,0))</f>
        <v>1</v>
      </c>
      <c r="J12" s="21" t="n">
        <f aca="false">IF(OR($D12="",$H12=""),"",IF(LEFT(SUBSTITUTE(SUBSTITUTE(SUBSTITUTE(SUBSTITUTE(SUBSTITUTE($D12,".",""),"-","")," ","")," ",""),CHAR(9),""),6)=LEFT(SUBSTITUTE(SUBSTITUTE(SUBSTITUTE(SUBSTITUTE(SUBSTITUTE($H12,".",""),"-","")," ","")," ",""),CHAR(9),""),6),1,0))</f>
        <v>1</v>
      </c>
      <c r="K12" s="21" t="n">
        <f aca="false">IF(OR($D12="",$H12=""),"",IF(SUBSTITUTE(SUBSTITUTE(SUBSTITUTE(SUBSTITUTE(SUBSTITUTE($D12,".",""),"-","")," ","")," ",""),CHAR(9),"")=SUBSTITUTE(SUBSTITUTE(SUBSTITUTE(SUBSTITUTE(SUBSTITUTE($H12,".",""),"-","")," ","")," ",""),CHAR(9),""),1,0))</f>
        <v>1</v>
      </c>
      <c r="L12" s="13" t="s">
        <v>222</v>
      </c>
      <c r="M12" s="13" t="s">
        <v>223</v>
      </c>
      <c r="N12" s="13" t="s">
        <v>224</v>
      </c>
      <c r="O12" s="21" t="n">
        <f aca="false">IF(OR($D12="",$L12=""),"",IF(LEFT(SUBSTITUTE(SUBSTITUTE(SUBSTITUTE(SUBSTITUTE(SUBSTITUTE($D12,".",""),"-","")," ","")," ",""),CHAR(9),""),6)=LEFT(SUBSTITUTE(SUBSTITUTE(SUBSTITUTE(SUBSTITUTE(SUBSTITUTE($L12,".",""),"-","")," ","")," ",""),CHAR(9),""),6),1,0))</f>
        <v>1</v>
      </c>
      <c r="P12" s="21" t="n">
        <f aca="false">IF(OR($D12="",$L12=""),"",IF(OR(LEFT(SUBSTITUTE(SUBSTITUTE(SUBSTITUTE(SUBSTITUTE(SUBSTITUTE($D12,".",""),"-","")," ","")," ",""),CHAR(9),""),6)=LEFT(SUBSTITUTE(SUBSTITUTE(SUBSTITUTE(SUBSTITUTE(SUBSTITUTE($L12,".",""),"-","")," ","")," ",""),CHAR(9),""),6),LEFT(SUBSTITUTE(SUBSTITUTE(SUBSTITUTE(SUBSTITUTE(SUBSTITUTE($D12,".",""),"-","")," ","")," ",""),CHAR(9),""),6)=LEFT(SUBSTITUTE(SUBSTITUTE(SUBSTITUTE(SUBSTITUTE(SUBSTITUTE($M12,".",""),"-","")," ","")," ",""),CHAR(9),""),6),LEFT(SUBSTITUTE(SUBSTITUTE(SUBSTITUTE(SUBSTITUTE(SUBSTITUTE($D12,".",""),"-","")," ","")," ",""),CHAR(9),""),6)=LEFT(SUBSTITUTE(SUBSTITUTE(SUBSTITUTE(SUBSTITUTE(SUBSTITUTE($N12,".",""),"-","")," ","")," ",""),CHAR(9),""),6)),1,0))</f>
        <v>1</v>
      </c>
      <c r="Q12" s="15"/>
      <c r="R12" s="16"/>
    </row>
    <row r="13" customFormat="false" ht="39.75" hidden="false" customHeight="true" outlineLevel="0" collapsed="false">
      <c r="A13" s="21" t="n">
        <v>9</v>
      </c>
      <c r="B13" s="22" t="str">
        <f aca="false">IF(케이스목록!$B13="","",케이스목록!$B13)</f>
        <v>품목분류4과-1933</v>
      </c>
      <c r="C13" s="23" t="str">
        <f aca="false">IF(케이스목록!$E13="","",케이스목록!$E13)</f>
        <v>ㅇ 물품개요
- 안건 물품은 선박의 기관실 등에서 화재 발생시 화재감지 신호에 따라 펌프가 작동하여 물을 미립화하여 고압으로 분무함으로써 화재를 진압하는 화재 진압 시스템(소화수 탱크는 미제시됨)
ㅇ 용도 : 선박 기관실(주기관, 발전기, 보일러 등 고위험 설비)내의 화재 방호
ㅇ 작동원리 : 물 입자를 미분무수화하여 표면적을 증가시키고 열을 흡수함과 동시에 물의 증발을 최대화하여 냉각 효과로 소화
ㅇ 주요 구성요소 및 기능
- 펌프 : 화재 발생시 노즐로 소화수를 전달
- 컨트롤판넬 : 시스템 제어 및 상태관리
- 미분수 노즐 : 소화수(물)를 분사하여 화재를 진압하는 장치
- 배관 및 밸브 : 제어 신호에 따라 소화수 공급 및 배관 라인 개폐
- 화재감지기 : 화재 발생시 연기, 열, 화염 등을 감지하여 컨트롤판넬로 전달
- (미제시) 소화수 탱크 : 소화수를 저장하는 장치이며 펌프와 배관으로 연결</v>
      </c>
      <c r="D13" s="24" t="str">
        <f aca="false">IF(케이스목록!$D13="","",케이스목록!$D13)</f>
        <v>8424899000</v>
      </c>
      <c r="E13" s="22" t="str">
        <f aca="false">IF(케이스목록!$H13="","",케이스목록!$H13)</f>
        <v>O</v>
      </c>
      <c r="F13" s="15" t="s">
        <v>60</v>
      </c>
      <c r="G13" s="15" t="s">
        <v>60</v>
      </c>
      <c r="H13" s="13" t="s">
        <v>225</v>
      </c>
      <c r="I13" s="21" t="n">
        <f aca="false">IF(OR($D13="",$H13=""),"",IF(LEFT(SUBSTITUTE(SUBSTITUTE(SUBSTITUTE(SUBSTITUTE(SUBSTITUTE($D13,".",""),"-","")," ","")," ",""),CHAR(9),""),4)=LEFT(SUBSTITUTE(SUBSTITUTE(SUBSTITUTE(SUBSTITUTE(SUBSTITUTE($H13,".",""),"-","")," ","")," ",""),CHAR(9),""),4),1,0))</f>
        <v>1</v>
      </c>
      <c r="J13" s="21" t="n">
        <f aca="false">IF(OR($D13="",$H13=""),"",IF(LEFT(SUBSTITUTE(SUBSTITUTE(SUBSTITUTE(SUBSTITUTE(SUBSTITUTE($D13,".",""),"-","")," ","")," ",""),CHAR(9),""),6)=LEFT(SUBSTITUTE(SUBSTITUTE(SUBSTITUTE(SUBSTITUTE(SUBSTITUTE($H13,".",""),"-","")," ","")," ",""),CHAR(9),""),6),1,0))</f>
        <v>1</v>
      </c>
      <c r="K13" s="21" t="n">
        <f aca="false">IF(OR($D13="",$H13=""),"",IF(SUBSTITUTE(SUBSTITUTE(SUBSTITUTE(SUBSTITUTE(SUBSTITUTE($D13,".",""),"-","")," ","")," ",""),CHAR(9),"")=SUBSTITUTE(SUBSTITUTE(SUBSTITUTE(SUBSTITUTE(SUBSTITUTE($H13,".",""),"-","")," ","")," ",""),CHAR(9),""),1,0))</f>
        <v>1</v>
      </c>
      <c r="L13" s="13" t="s">
        <v>225</v>
      </c>
      <c r="M13" s="13" t="s">
        <v>226</v>
      </c>
      <c r="N13" s="13" t="s">
        <v>227</v>
      </c>
      <c r="O13" s="21" t="n">
        <f aca="false">IF(OR($D13="",$L13=""),"",IF(LEFT(SUBSTITUTE(SUBSTITUTE(SUBSTITUTE(SUBSTITUTE(SUBSTITUTE($D13,".",""),"-","")," ","")," ",""),CHAR(9),""),6)=LEFT(SUBSTITUTE(SUBSTITUTE(SUBSTITUTE(SUBSTITUTE(SUBSTITUTE($L13,".",""),"-","")," ","")," ",""),CHAR(9),""),6),1,0))</f>
        <v>1</v>
      </c>
      <c r="P13" s="21" t="n">
        <f aca="false">IF(OR($D13="",$L13=""),"",IF(OR(LEFT(SUBSTITUTE(SUBSTITUTE(SUBSTITUTE(SUBSTITUTE(SUBSTITUTE($D13,".",""),"-","")," ","")," ",""),CHAR(9),""),6)=LEFT(SUBSTITUTE(SUBSTITUTE(SUBSTITUTE(SUBSTITUTE(SUBSTITUTE($L13,".",""),"-","")," ","")," ",""),CHAR(9),""),6),LEFT(SUBSTITUTE(SUBSTITUTE(SUBSTITUTE(SUBSTITUTE(SUBSTITUTE($D13,".",""),"-","")," ","")," ",""),CHAR(9),""),6)=LEFT(SUBSTITUTE(SUBSTITUTE(SUBSTITUTE(SUBSTITUTE(SUBSTITUTE($M13,".",""),"-","")," ","")," ",""),CHAR(9),""),6),LEFT(SUBSTITUTE(SUBSTITUTE(SUBSTITUTE(SUBSTITUTE(SUBSTITUTE($D13,".",""),"-","")," ","")," ",""),CHAR(9),""),6)=LEFT(SUBSTITUTE(SUBSTITUTE(SUBSTITUTE(SUBSTITUTE(SUBSTITUTE($N13,".",""),"-","")," ","")," ",""),CHAR(9),""),6)),1,0))</f>
        <v>1</v>
      </c>
      <c r="Q13" s="15"/>
      <c r="R13" s="16"/>
    </row>
    <row r="14" customFormat="false" ht="39.75" hidden="false" customHeight="true" outlineLevel="0" collapsed="false">
      <c r="A14" s="21" t="n">
        <v>10</v>
      </c>
      <c r="B14" s="22" t="str">
        <f aca="false">IF(케이스목록!$B14="","",케이스목록!$B14)</f>
        <v>품목분류3과-3871</v>
      </c>
      <c r="C14" s="23" t="str">
        <f aca="false">IF(케이스목록!$E14="","",케이스목록!$E14)</f>
        <v>ㅇ 물품 개요
- 반도체 세정장비*(SU-3200)에 사용되는 산업용 컴퓨터로 제어 프로그램이 설치되어 수입
* 반도체 제조공정 중 발생한 Wafer 표면의 각종 이물질을 화공약품을 이용하여 제거
ㅇ 기능 및 용도: 장비 전체 운영의 중앙 제어, 장비 상태 모니터링 및 보호, 데이터 수집 및 로깅, 장비 최적화·스케줄링 기능, 보안·사용자 권한 관리, 서브 시스템과의 통신 및 제어 명령 분배
ㅇ 일반 프로그램 설치 가능 여부
- 신청 물품은 Windows 운영체제가 설치된 산업용 컴퓨터로서, 일반 PC와 동일하게 다양한 프로그램의 설치 및 실행이 가능하며, 프로그램 설치와 관련된 기술적 제한 없음
ㅇ 제어 방식: 신청 물품이 장치 운용을 위한 명령*을 VME Controller에 지시 → VME Controller는 다시 각 모듈**에 동작***을 지시 → 모듈 수행에 따른 각종 데이터를 다시 VME Controller가 취합 후 신청 물품으로 송부
* 사용자 입력 및 시스템 조건에 따른 장비의 가동, 정지, 중단
** 로봇 컨트톨러, 반송 장치, 챔버, 밸브, 센서 등
*** 로봇 동작(Move, Pick up, Place 등), Motor/Pump 제어(위치, 속도 관련 정보) 등</v>
      </c>
      <c r="D14" s="24" t="str">
        <f aca="false">IF(케이스목록!$D14="","",케이스목록!$D14)</f>
        <v>8471501000</v>
      </c>
      <c r="E14" s="22" t="str">
        <f aca="false">IF(케이스목록!$H14="","",케이스목록!$H14)</f>
        <v>O</v>
      </c>
      <c r="F14" s="15" t="s">
        <v>60</v>
      </c>
      <c r="G14" s="15" t="s">
        <v>60</v>
      </c>
      <c r="H14" s="13" t="s">
        <v>228</v>
      </c>
      <c r="I14" s="21" t="n">
        <f aca="false">IF(OR($D14="",$H14=""),"",IF(LEFT(SUBSTITUTE(SUBSTITUTE(SUBSTITUTE(SUBSTITUTE(SUBSTITUTE($D14,".",""),"-","")," ","")," ",""),CHAR(9),""),4)=LEFT(SUBSTITUTE(SUBSTITUTE(SUBSTITUTE(SUBSTITUTE(SUBSTITUTE($H14,".",""),"-","")," ","")," ",""),CHAR(9),""),4),1,0))</f>
        <v>1</v>
      </c>
      <c r="J14" s="21" t="n">
        <f aca="false">IF(OR($D14="",$H14=""),"",IF(LEFT(SUBSTITUTE(SUBSTITUTE(SUBSTITUTE(SUBSTITUTE(SUBSTITUTE($D14,".",""),"-","")," ","")," ",""),CHAR(9),""),6)=LEFT(SUBSTITUTE(SUBSTITUTE(SUBSTITUTE(SUBSTITUTE(SUBSTITUTE($H14,".",""),"-","")," ","")," ",""),CHAR(9),""),6),1,0))</f>
        <v>1</v>
      </c>
      <c r="K14" s="21" t="n">
        <f aca="false">IF(OR($D14="",$H14=""),"",IF(SUBSTITUTE(SUBSTITUTE(SUBSTITUTE(SUBSTITUTE(SUBSTITUTE($D14,".",""),"-","")," ","")," ",""),CHAR(9),"")=SUBSTITUTE(SUBSTITUTE(SUBSTITUTE(SUBSTITUTE(SUBSTITUTE($H14,".",""),"-","")," ","")," ",""),CHAR(9),""),1,0))</f>
        <v>0</v>
      </c>
      <c r="L14" s="13" t="s">
        <v>228</v>
      </c>
      <c r="M14" s="13" t="s">
        <v>229</v>
      </c>
      <c r="N14" s="13" t="s">
        <v>230</v>
      </c>
      <c r="O14" s="21" t="n">
        <f aca="false">IF(OR($D14="",$L14=""),"",IF(LEFT(SUBSTITUTE(SUBSTITUTE(SUBSTITUTE(SUBSTITUTE(SUBSTITUTE($D14,".",""),"-","")," ","")," ",""),CHAR(9),""),6)=LEFT(SUBSTITUTE(SUBSTITUTE(SUBSTITUTE(SUBSTITUTE(SUBSTITUTE($L14,".",""),"-","")," ","")," ",""),CHAR(9),""),6),1,0))</f>
        <v>1</v>
      </c>
      <c r="P14" s="21" t="n">
        <f aca="false">IF(OR($D14="",$L14=""),"",IF(OR(LEFT(SUBSTITUTE(SUBSTITUTE(SUBSTITUTE(SUBSTITUTE(SUBSTITUTE($D14,".",""),"-","")," ","")," ",""),CHAR(9),""),6)=LEFT(SUBSTITUTE(SUBSTITUTE(SUBSTITUTE(SUBSTITUTE(SUBSTITUTE($L14,".",""),"-","")," ","")," ",""),CHAR(9),""),6),LEFT(SUBSTITUTE(SUBSTITUTE(SUBSTITUTE(SUBSTITUTE(SUBSTITUTE($D14,".",""),"-","")," ","")," ",""),CHAR(9),""),6)=LEFT(SUBSTITUTE(SUBSTITUTE(SUBSTITUTE(SUBSTITUTE(SUBSTITUTE($M14,".",""),"-","")," ","")," ",""),CHAR(9),""),6),LEFT(SUBSTITUTE(SUBSTITUTE(SUBSTITUTE(SUBSTITUTE(SUBSTITUTE($D14,".",""),"-","")," ","")," ",""),CHAR(9),""),6)=LEFT(SUBSTITUTE(SUBSTITUTE(SUBSTITUTE(SUBSTITUTE(SUBSTITUTE($N14,".",""),"-","")," ","")," ",""),CHAR(9),""),6)),1,0))</f>
        <v>1</v>
      </c>
      <c r="Q14" s="14" t="s">
        <v>207</v>
      </c>
      <c r="R14" s="16"/>
    </row>
    <row r="15" customFormat="false" ht="39.75" hidden="false" customHeight="true" outlineLevel="0" collapsed="false">
      <c r="A15" s="21" t="n">
        <v>11</v>
      </c>
      <c r="B15" s="22" t="str">
        <f aca="false">IF(케이스목록!$B15="","",케이스목록!$B15)</f>
        <v>품목분류2과-1654</v>
      </c>
      <c r="C15" s="23" t="str">
        <f aca="false">IF(케이스목록!$E15="","",케이스목록!$E15)</f>
        <v> ㅇ 물품개요
- 수소처리된 경질 나프타[Naphtha(petroleum), hydrotreated light] (85%~95%), 방향족 탄화수소 혼합물* (1%~10%)을 혼합한 무색 투명한 액상[비방향족 성분 중량이 방향족 성분 중량을 초과, ISO 3405방법으로 210℃에서 90%이상 증류]
* Mixed xylene : 에틸벤젠(Ethylbenzene) 50~60%, 크실렌(Xylene) 40~50%
- 용도: 산업용 용제</v>
      </c>
      <c r="D15" s="24" t="str">
        <f aca="false">IF(케이스목록!$D15="","",케이스목록!$D15)</f>
        <v>2710129000</v>
      </c>
      <c r="E15" s="22" t="str">
        <f aca="false">IF(케이스목록!$H15="","",케이스목록!$H15)</f>
        <v>O</v>
      </c>
      <c r="F15" s="15" t="s">
        <v>60</v>
      </c>
      <c r="G15" s="15" t="s">
        <v>60</v>
      </c>
      <c r="H15" s="13" t="s">
        <v>231</v>
      </c>
      <c r="I15" s="21" t="n">
        <f aca="false">IF(OR($D15="",$H15=""),"",IF(LEFT(SUBSTITUTE(SUBSTITUTE(SUBSTITUTE(SUBSTITUTE(SUBSTITUTE($D15,".",""),"-","")," ","")," ",""),CHAR(9),""),4)=LEFT(SUBSTITUTE(SUBSTITUTE(SUBSTITUTE(SUBSTITUTE(SUBSTITUTE($H15,".",""),"-","")," ","")," ",""),CHAR(9),""),4),1,0))</f>
        <v>1</v>
      </c>
      <c r="J15" s="21" t="n">
        <f aca="false">IF(OR($D15="",$H15=""),"",IF(LEFT(SUBSTITUTE(SUBSTITUTE(SUBSTITUTE(SUBSTITUTE(SUBSTITUTE($D15,".",""),"-","")," ","")," ",""),CHAR(9),""),6)=LEFT(SUBSTITUTE(SUBSTITUTE(SUBSTITUTE(SUBSTITUTE(SUBSTITUTE($H15,".",""),"-","")," ","")," ",""),CHAR(9),""),6),1,0))</f>
        <v>1</v>
      </c>
      <c r="K15" s="21" t="n">
        <f aca="false">IF(OR($D15="",$H15=""),"",IF(SUBSTITUTE(SUBSTITUTE(SUBSTITUTE(SUBSTITUTE(SUBSTITUTE($D15,".",""),"-","")," ","")," ",""),CHAR(9),"")=SUBSTITUTE(SUBSTITUTE(SUBSTITUTE(SUBSTITUTE(SUBSTITUTE($H15,".",""),"-","")," ","")," ",""),CHAR(9),""),1,0))</f>
        <v>0</v>
      </c>
      <c r="L15" s="13" t="s">
        <v>231</v>
      </c>
      <c r="M15" s="13" t="s">
        <v>232</v>
      </c>
      <c r="N15" s="13" t="s">
        <v>233</v>
      </c>
      <c r="O15" s="21" t="n">
        <f aca="false">IF(OR($D15="",$L15=""),"",IF(LEFT(SUBSTITUTE(SUBSTITUTE(SUBSTITUTE(SUBSTITUTE(SUBSTITUTE($D15,".",""),"-","")," ","")," ",""),CHAR(9),""),6)=LEFT(SUBSTITUTE(SUBSTITUTE(SUBSTITUTE(SUBSTITUTE(SUBSTITUTE($L15,".",""),"-","")," ","")," ",""),CHAR(9),""),6),1,0))</f>
        <v>1</v>
      </c>
      <c r="P15" s="21" t="n">
        <f aca="false">IF(OR($D15="",$L15=""),"",IF(OR(LEFT(SUBSTITUTE(SUBSTITUTE(SUBSTITUTE(SUBSTITUTE(SUBSTITUTE($D15,".",""),"-","")," ","")," ",""),CHAR(9),""),6)=LEFT(SUBSTITUTE(SUBSTITUTE(SUBSTITUTE(SUBSTITUTE(SUBSTITUTE($L15,".",""),"-","")," ","")," ",""),CHAR(9),""),6),LEFT(SUBSTITUTE(SUBSTITUTE(SUBSTITUTE(SUBSTITUTE(SUBSTITUTE($D15,".",""),"-","")," ","")," ",""),CHAR(9),""),6)=LEFT(SUBSTITUTE(SUBSTITUTE(SUBSTITUTE(SUBSTITUTE(SUBSTITUTE($M15,".",""),"-","")," ","")," ",""),CHAR(9),""),6),LEFT(SUBSTITUTE(SUBSTITUTE(SUBSTITUTE(SUBSTITUTE(SUBSTITUTE($D15,".",""),"-","")," ","")," ",""),CHAR(9),""),6)=LEFT(SUBSTITUTE(SUBSTITUTE(SUBSTITUTE(SUBSTITUTE(SUBSTITUTE($N15,".",""),"-","")," ","")," ",""),CHAR(9),""),6)),1,0))</f>
        <v>1</v>
      </c>
      <c r="Q15" s="15"/>
      <c r="R15" s="16"/>
    </row>
    <row r="16" customFormat="false" ht="39.75" hidden="false" customHeight="true" outlineLevel="0" collapsed="false">
      <c r="A16" s="21" t="n">
        <v>12</v>
      </c>
      <c r="B16" s="22" t="str">
        <f aca="false">IF(케이스목록!$B16="","",케이스목록!$B16)</f>
        <v>품목분류2과-1460</v>
      </c>
      <c r="C16" s="23" t="str">
        <f aca="false">IF(케이스목록!$E16="","",케이스목록!$E16)</f>
        <v>ㅇ 물품개요
- 원상의 생강을 끓는 물에 담가 세척하고 절단하여 설탕 시럽(끓는 물에 설탕을 녹여 만든 시럽을 용기 3개에 담은 후 순차적으로 침적)에 침적한 후 잔류 시럽을 배출한 생강 채 50%에 설탕 50%를 넣어 포장하여 냉동한 것
- 용도 : 식용(생강차 제조용)
- 분석결과
▪시료 : 수분 약 36.9% ①자당 약 56% ②자당 약 50% / 시럽 자당 약 59%
▪생강(미 농무성) : 수분 78.9%, 당 1.7%
- 제조공정
원상의 생강 ⇒ 세척(끓는 물에 담금/살균 및 전분 제거) ⇒ 채 썰기 ⇒ 설탕 시럽에 3회 침적(끓는 물에 설탕을 녹여 만든 시럽을 용기* 3개에 나눠 담은 후 생강 채를 각 시럽에 순차적으로 침적) ⇒ 시럽 배출 ⇒ 설탕 혼합 ⇒ 포장 ⇒ 냉동
※ 생강 채를 시럽에 넣어 끓이지 않는 이유
- 생강 채를 설탕 시럽에 담근 상태에서 끓이면 생강의 형태를 유지하기 어렵기 때문에, 생강 형상을 최대한 유지하기 위해 끓는 물에 설탕을 녹여 만든 시럽에 침적하는 방식으로 제조</v>
      </c>
      <c r="D16" s="24" t="str">
        <f aca="false">IF(케이스목록!$D16="","",케이스목록!$D16)</f>
        <v>2008999000</v>
      </c>
      <c r="E16" s="22" t="str">
        <f aca="false">IF(케이스목록!$H16="","",케이스목록!$H16)</f>
        <v>O</v>
      </c>
      <c r="F16" s="15" t="s">
        <v>60</v>
      </c>
      <c r="G16" s="15" t="s">
        <v>60</v>
      </c>
      <c r="H16" s="13" t="s">
        <v>234</v>
      </c>
      <c r="I16" s="21" t="n">
        <f aca="false">IF(OR($D16="",$H16=""),"",IF(LEFT(SUBSTITUTE(SUBSTITUTE(SUBSTITUTE(SUBSTITUTE(SUBSTITUTE($D16,".",""),"-","")," ","")," ",""),CHAR(9),""),4)=LEFT(SUBSTITUTE(SUBSTITUTE(SUBSTITUTE(SUBSTITUTE(SUBSTITUTE($H16,".",""),"-","")," ","")," ",""),CHAR(9),""),4),1,0))</f>
        <v>0</v>
      </c>
      <c r="J16" s="21" t="n">
        <f aca="false">IF(OR($D16="",$H16=""),"",IF(LEFT(SUBSTITUTE(SUBSTITUTE(SUBSTITUTE(SUBSTITUTE(SUBSTITUTE($D16,".",""),"-","")," ","")," ",""),CHAR(9),""),6)=LEFT(SUBSTITUTE(SUBSTITUTE(SUBSTITUTE(SUBSTITUTE(SUBSTITUTE($H16,".",""),"-","")," ","")," ",""),CHAR(9),""),6),1,0))</f>
        <v>0</v>
      </c>
      <c r="K16" s="21" t="n">
        <f aca="false">IF(OR($D16="",$H16=""),"",IF(SUBSTITUTE(SUBSTITUTE(SUBSTITUTE(SUBSTITUTE(SUBSTITUTE($D16,".",""),"-","")," ","")," ",""),CHAR(9),"")=SUBSTITUTE(SUBSTITUTE(SUBSTITUTE(SUBSTITUTE(SUBSTITUTE($H16,".",""),"-","")," ","")," ",""),CHAR(9),""),1,0))</f>
        <v>0</v>
      </c>
      <c r="L16" s="13" t="s">
        <v>234</v>
      </c>
      <c r="M16" s="13" t="s">
        <v>235</v>
      </c>
      <c r="N16" s="13" t="s">
        <v>236</v>
      </c>
      <c r="O16" s="21" t="n">
        <f aca="false">IF(OR($D16="",$L16=""),"",IF(LEFT(SUBSTITUTE(SUBSTITUTE(SUBSTITUTE(SUBSTITUTE(SUBSTITUTE($D16,".",""),"-","")," ","")," ",""),CHAR(9),""),6)=LEFT(SUBSTITUTE(SUBSTITUTE(SUBSTITUTE(SUBSTITUTE(SUBSTITUTE($L16,".",""),"-","")," ","")," ",""),CHAR(9),""),6),1,0))</f>
        <v>0</v>
      </c>
      <c r="P16" s="21" t="n">
        <f aca="false">IF(OR($D16="",$L16=""),"",IF(OR(LEFT(SUBSTITUTE(SUBSTITUTE(SUBSTITUTE(SUBSTITUTE(SUBSTITUTE($D16,".",""),"-","")," ","")," ",""),CHAR(9),""),6)=LEFT(SUBSTITUTE(SUBSTITUTE(SUBSTITUTE(SUBSTITUTE(SUBSTITUTE($L16,".",""),"-","")," ","")," ",""),CHAR(9),""),6),LEFT(SUBSTITUTE(SUBSTITUTE(SUBSTITUTE(SUBSTITUTE(SUBSTITUTE($D16,".",""),"-","")," ","")," ",""),CHAR(9),""),6)=LEFT(SUBSTITUTE(SUBSTITUTE(SUBSTITUTE(SUBSTITUTE(SUBSTITUTE($M16,".",""),"-","")," ","")," ",""),CHAR(9),""),6),LEFT(SUBSTITUTE(SUBSTITUTE(SUBSTITUTE(SUBSTITUTE(SUBSTITUTE($D16,".",""),"-","")," ","")," ",""),CHAR(9),""),6)=LEFT(SUBSTITUTE(SUBSTITUTE(SUBSTITUTE(SUBSTITUTE(SUBSTITUTE($N16,".",""),"-","")," ","")," ",""),CHAR(9),""),6)),1,0))</f>
        <v>1</v>
      </c>
      <c r="Q16" s="14" t="s">
        <v>237</v>
      </c>
      <c r="R16" s="12" t="s">
        <v>238</v>
      </c>
    </row>
    <row r="17" customFormat="false" ht="39.75" hidden="false" customHeight="true" outlineLevel="0" collapsed="false">
      <c r="A17" s="21" t="n">
        <v>13</v>
      </c>
      <c r="B17" s="22" t="str">
        <f aca="false">IF(케이스목록!$B17="","",케이스목록!$B17)</f>
        <v>품목분류4과-945</v>
      </c>
      <c r="C17" s="23" t="str">
        <f aca="false">IF(케이스목록!$E17="","",케이스목록!$E17)</f>
        <v>ㅇ 물품개요
- CO₂가스를 동력원으로 화장품을 피부 표면에 미세하고 균일하게 분사하는 미용기기
- 분사 과정 중 화장품의 온도를 낮춰 피부에 쿨링감을 제공
ㅇ 주요 구성요소 및 기능
- 노즐 : CO₂가스를 제어하면서 분사 방향/각도 유지
- 냉각모듈 : 열전대소자(Peltier)*로, 화장품의 온도를 쿨링감있게 유지
* 전기를 흘리면 한쪽 면은 차가워지고 반대쪽 면은 뜨거워지는 열전소자
- 솔레노이드 밸브 : 전자제어 밸브로 가스 분사량 제어
- 디스플레이 : 배터리, 오류코드 등 상태 표시
- 트리거(방아쇠), USB-C 충전 포트, 리튬이온 배터리(3,350㎃h) 내장 등
- CO₂카트리지(미제시) : 고압 액화 CO₂가 밀봉된 소형 실린더
- 컨테이너(미제시) : 액상 화장품을 담는 용기
ㅇ 작동 원리
- 카트리지와 컨테이너 장착(미제시) → 트리거 작동 → 솔레노이드밸브가 개방되며 CO₂가스가 부품 내의 용기 안으로 이동 → 용기 내부 압력 상승 → 화장품이 노즐을 통해 약 45° 각도로 분사
- CO₂가스(극저온 냉매, -79도)의 분사로 화장품의 온도를 급속히 낮추고 이를 열전대(Peltier) 소자로 급속 가열하여 피부에 전달되는 온도(2~4도)로 유지</v>
      </c>
      <c r="D17" s="24" t="str">
        <f aca="false">IF(케이스목록!$D17="","",케이스목록!$D17)</f>
        <v>8424209000</v>
      </c>
      <c r="E17" s="22" t="str">
        <f aca="false">IF(케이스목록!$H17="","",케이스목록!$H17)</f>
        <v>O</v>
      </c>
      <c r="F17" s="15" t="s">
        <v>60</v>
      </c>
      <c r="G17" s="15" t="s">
        <v>60</v>
      </c>
      <c r="H17" s="13" t="s">
        <v>239</v>
      </c>
      <c r="I17" s="21" t="n">
        <f aca="false">IF(OR($D17="",$H17=""),"",IF(LEFT(SUBSTITUTE(SUBSTITUTE(SUBSTITUTE(SUBSTITUTE(SUBSTITUTE($D17,".",""),"-","")," ","")," ",""),CHAR(9),""),4)=LEFT(SUBSTITUTE(SUBSTITUTE(SUBSTITUTE(SUBSTITUTE(SUBSTITUTE($H17,".",""),"-","")," ","")," ",""),CHAR(9),""),4),1,0))</f>
        <v>1</v>
      </c>
      <c r="J17" s="21" t="n">
        <f aca="false">IF(OR($D17="",$H17=""),"",IF(LEFT(SUBSTITUTE(SUBSTITUTE(SUBSTITUTE(SUBSTITUTE(SUBSTITUTE($D17,".",""),"-","")," ","")," ",""),CHAR(9),""),6)=LEFT(SUBSTITUTE(SUBSTITUTE(SUBSTITUTE(SUBSTITUTE(SUBSTITUTE($H17,".",""),"-","")," ","")," ",""),CHAR(9),""),6),1,0))</f>
        <v>1</v>
      </c>
      <c r="K17" s="21" t="n">
        <f aca="false">IF(OR($D17="",$H17=""),"",IF(SUBSTITUTE(SUBSTITUTE(SUBSTITUTE(SUBSTITUTE(SUBSTITUTE($D17,".",""),"-","")," ","")," ",""),CHAR(9),"")=SUBSTITUTE(SUBSTITUTE(SUBSTITUTE(SUBSTITUTE(SUBSTITUTE($H17,".",""),"-","")," ","")," ",""),CHAR(9),""),1,0))</f>
        <v>0</v>
      </c>
      <c r="L17" s="13" t="s">
        <v>239</v>
      </c>
      <c r="M17" s="13" t="s">
        <v>240</v>
      </c>
      <c r="N17" s="13" t="s">
        <v>241</v>
      </c>
      <c r="O17" s="21" t="n">
        <f aca="false">IF(OR($D17="",$L17=""),"",IF(LEFT(SUBSTITUTE(SUBSTITUTE(SUBSTITUTE(SUBSTITUTE(SUBSTITUTE($D17,".",""),"-","")," ","")," ",""),CHAR(9),""),6)=LEFT(SUBSTITUTE(SUBSTITUTE(SUBSTITUTE(SUBSTITUTE(SUBSTITUTE($L17,".",""),"-","")," ","")," ",""),CHAR(9),""),6),1,0))</f>
        <v>1</v>
      </c>
      <c r="P17" s="21" t="n">
        <f aca="false">IF(OR($D17="",$L17=""),"",IF(OR(LEFT(SUBSTITUTE(SUBSTITUTE(SUBSTITUTE(SUBSTITUTE(SUBSTITUTE($D17,".",""),"-","")," ","")," ",""),CHAR(9),""),6)=LEFT(SUBSTITUTE(SUBSTITUTE(SUBSTITUTE(SUBSTITUTE(SUBSTITUTE($L17,".",""),"-","")," ","")," ",""),CHAR(9),""),6),LEFT(SUBSTITUTE(SUBSTITUTE(SUBSTITUTE(SUBSTITUTE(SUBSTITUTE($D17,".",""),"-","")," ","")," ",""),CHAR(9),""),6)=LEFT(SUBSTITUTE(SUBSTITUTE(SUBSTITUTE(SUBSTITUTE(SUBSTITUTE($M17,".",""),"-","")," ","")," ",""),CHAR(9),""),6),LEFT(SUBSTITUTE(SUBSTITUTE(SUBSTITUTE(SUBSTITUTE(SUBSTITUTE($D17,".",""),"-","")," ","")," ",""),CHAR(9),""),6)=LEFT(SUBSTITUTE(SUBSTITUTE(SUBSTITUTE(SUBSTITUTE(SUBSTITUTE($N17,".",""),"-","")," ","")," ",""),CHAR(9),""),6)),1,0))</f>
        <v>1</v>
      </c>
      <c r="Q17" s="14" t="s">
        <v>202</v>
      </c>
      <c r="R17" s="12" t="s">
        <v>242</v>
      </c>
    </row>
    <row r="18" customFormat="false" ht="39.75" hidden="false" customHeight="true" outlineLevel="0" collapsed="false">
      <c r="A18" s="21" t="n">
        <v>14</v>
      </c>
      <c r="B18" s="22" t="str">
        <f aca="false">IF(케이스목록!$B18="","",케이스목록!$B18)</f>
        <v>품목분류1과-876</v>
      </c>
      <c r="C18" s="23" t="str">
        <f aca="false">IF(케이스목록!$E18="","",케이스목록!$E18)</f>
        <v>ㅇ 물품 개요
- 산업용 스마트카메라*의 일종인 In-sight Vision 장비에 전용되는 대물렌즈로, 측정 대상 물품의 상을 포착하여 후방(스마트 카메라 본체)에 위치한 CMOS 이미지 센서에 상을 맺게 함
* 일반적인 카메라와 달리 영상획득, 영상처리, 판단․제어 로직을 하나의 장치로 통합한 비전(vision) 측정검사 장비(제9031.4호에 분류되고 있음)
ㅇ 구성 요소별 기능
① 렌즈 : 일반렌즈와 액체 렌즈가 결합된 형태로, 포착된 피사체의 상을 스마트 카메라 본체 내부의 CMOS 이미지 센서 위에 결상시킴(본체의 CMOS 센서가 이를 디지털 신호로 변환하여 영상 데이터를 생성)
② 커넥터 : 액체 렌즈 부분의 셀을 형성하기 위해서 전력을 공급하고, 촬영 간 초점을 빠르게 전환하기 위한 제어 명령 전달
③ 장착 부분 : Auto Focus 렌즈(쟁점물품)와 In-sight 제품(본체)을 연결하는 부분으로 인사이트 제품의 장착에 맞게 홈이 파여 있으며 제품을 연결하기 위해 볼트가 삽입된 연결부분이 있음.</v>
      </c>
      <c r="D18" s="24" t="str">
        <f aca="false">IF(케이스목록!$D18="","",케이스목록!$D18)</f>
        <v>9002119090</v>
      </c>
      <c r="E18" s="22" t="str">
        <f aca="false">IF(케이스목록!$H18="","",케이스목록!$H18)</f>
        <v>O</v>
      </c>
      <c r="F18" s="15" t="s">
        <v>60</v>
      </c>
      <c r="G18" s="15" t="s">
        <v>60</v>
      </c>
      <c r="H18" s="13" t="s">
        <v>243</v>
      </c>
      <c r="I18" s="21" t="n">
        <f aca="false">IF(OR($D18="",$H18=""),"",IF(LEFT(SUBSTITUTE(SUBSTITUTE(SUBSTITUTE(SUBSTITUTE(SUBSTITUTE($D18,".",""),"-","")," ","")," ",""),CHAR(9),""),4)=LEFT(SUBSTITUTE(SUBSTITUTE(SUBSTITUTE(SUBSTITUTE(SUBSTITUTE($H18,".",""),"-","")," ","")," ",""),CHAR(9),""),4),1,0))</f>
        <v>1</v>
      </c>
      <c r="J18" s="21" t="n">
        <f aca="false">IF(OR($D18="",$H18=""),"",IF(LEFT(SUBSTITUTE(SUBSTITUTE(SUBSTITUTE(SUBSTITUTE(SUBSTITUTE($D18,".",""),"-","")," ","")," ",""),CHAR(9),""),6)=LEFT(SUBSTITUTE(SUBSTITUTE(SUBSTITUTE(SUBSTITUTE(SUBSTITUTE($H18,".",""),"-","")," ","")," ",""),CHAR(9),""),6),1,0))</f>
        <v>0</v>
      </c>
      <c r="K18" s="21" t="n">
        <f aca="false">IF(OR($D18="",$H18=""),"",IF(SUBSTITUTE(SUBSTITUTE(SUBSTITUTE(SUBSTITUTE(SUBSTITUTE($D18,".",""),"-","")," ","")," ",""),CHAR(9),"")=SUBSTITUTE(SUBSTITUTE(SUBSTITUTE(SUBSTITUTE(SUBSTITUTE($H18,".",""),"-","")," ","")," ",""),CHAR(9),""),1,0))</f>
        <v>0</v>
      </c>
      <c r="L18" s="13" t="s">
        <v>243</v>
      </c>
      <c r="M18" s="13" t="s">
        <v>244</v>
      </c>
      <c r="N18" s="13" t="s">
        <v>245</v>
      </c>
      <c r="O18" s="21" t="n">
        <f aca="false">IF(OR($D18="",$L18=""),"",IF(LEFT(SUBSTITUTE(SUBSTITUTE(SUBSTITUTE(SUBSTITUTE(SUBSTITUTE($D18,".",""),"-","")," ","")," ",""),CHAR(9),""),6)=LEFT(SUBSTITUTE(SUBSTITUTE(SUBSTITUTE(SUBSTITUTE(SUBSTITUTE($L18,".",""),"-","")," ","")," ",""),CHAR(9),""),6),1,0))</f>
        <v>0</v>
      </c>
      <c r="P18" s="21" t="n">
        <f aca="false">IF(OR($D18="",$L18=""),"",IF(OR(LEFT(SUBSTITUTE(SUBSTITUTE(SUBSTITUTE(SUBSTITUTE(SUBSTITUTE($D18,".",""),"-","")," ","")," ",""),CHAR(9),""),6)=LEFT(SUBSTITUTE(SUBSTITUTE(SUBSTITUTE(SUBSTITUTE(SUBSTITUTE($L18,".",""),"-","")," ","")," ",""),CHAR(9),""),6),LEFT(SUBSTITUTE(SUBSTITUTE(SUBSTITUTE(SUBSTITUTE(SUBSTITUTE($D18,".",""),"-","")," ","")," ",""),CHAR(9),""),6)=LEFT(SUBSTITUTE(SUBSTITUTE(SUBSTITUTE(SUBSTITUTE(SUBSTITUTE($M18,".",""),"-","")," ","")," ",""),CHAR(9),""),6),LEFT(SUBSTITUTE(SUBSTITUTE(SUBSTITUTE(SUBSTITUTE(SUBSTITUTE($D18,".",""),"-","")," ","")," ",""),CHAR(9),""),6)=LEFT(SUBSTITUTE(SUBSTITUTE(SUBSTITUTE(SUBSTITUTE(SUBSTITUTE($N18,".",""),"-","")," ","")," ",""),CHAR(9),""),6)),1,0))</f>
        <v>1</v>
      </c>
      <c r="Q18" s="14" t="s">
        <v>207</v>
      </c>
      <c r="R18" s="16"/>
    </row>
    <row r="19" customFormat="false" ht="39.75" hidden="false" customHeight="true" outlineLevel="0" collapsed="false">
      <c r="A19" s="21" t="n">
        <v>15</v>
      </c>
      <c r="B19" s="22" t="str">
        <f aca="false">IF(케이스목록!$B19="","",케이스목록!$B19)</f>
        <v>품목분류2과-1011</v>
      </c>
      <c r="C19" s="23" t="str">
        <f aca="false">IF(케이스목록!$E19="","",케이스목록!$E19)</f>
        <v>ㅇ 물품개요
- 살리실산을 주성분으로 한 황색 페이스트를 원형 스펀지 중앙에 채운 후 스트립상의 접착시트에 부착한 것을 소매포장한 것(내용량 : 100g, 12매/box)
- 용도: 티눈, 굳은 살, 사마귀 제거(일반의약품)</v>
      </c>
      <c r="D19" s="24" t="str">
        <f aca="false">IF(케이스목록!$D19="","",케이스목록!$D19)</f>
        <v>3004909900</v>
      </c>
      <c r="E19" s="22" t="str">
        <f aca="false">IF(케이스목록!$H19="","",케이스목록!$H19)</f>
        <v>O</v>
      </c>
      <c r="F19" s="15" t="s">
        <v>60</v>
      </c>
      <c r="G19" s="15" t="s">
        <v>60</v>
      </c>
      <c r="H19" s="13" t="s">
        <v>246</v>
      </c>
      <c r="I19" s="21" t="n">
        <f aca="false">IF(OR($D19="",$H19=""),"",IF(LEFT(SUBSTITUTE(SUBSTITUTE(SUBSTITUTE(SUBSTITUTE(SUBSTITUTE($D19,".",""),"-","")," ","")," ",""),CHAR(9),""),4)=LEFT(SUBSTITUTE(SUBSTITUTE(SUBSTITUTE(SUBSTITUTE(SUBSTITUTE($H19,".",""),"-","")," ","")," ",""),CHAR(9),""),4),1,0))</f>
        <v>0</v>
      </c>
      <c r="J19" s="21" t="n">
        <f aca="false">IF(OR($D19="",$H19=""),"",IF(LEFT(SUBSTITUTE(SUBSTITUTE(SUBSTITUTE(SUBSTITUTE(SUBSTITUTE($D19,".",""),"-","")," ","")," ",""),CHAR(9),""),6)=LEFT(SUBSTITUTE(SUBSTITUTE(SUBSTITUTE(SUBSTITUTE(SUBSTITUTE($H19,".",""),"-","")," ","")," ",""),CHAR(9),""),6),1,0))</f>
        <v>0</v>
      </c>
      <c r="K19" s="21" t="n">
        <f aca="false">IF(OR($D19="",$H19=""),"",IF(SUBSTITUTE(SUBSTITUTE(SUBSTITUTE(SUBSTITUTE(SUBSTITUTE($D19,".",""),"-","")," ","")," ",""),CHAR(9),"")=SUBSTITUTE(SUBSTITUTE(SUBSTITUTE(SUBSTITUTE(SUBSTITUTE($H19,".",""),"-","")," ","")," ",""),CHAR(9),""),1,0))</f>
        <v>0</v>
      </c>
      <c r="L19" s="13" t="s">
        <v>246</v>
      </c>
      <c r="M19" s="13" t="s">
        <v>247</v>
      </c>
      <c r="N19" s="13" t="s">
        <v>248</v>
      </c>
      <c r="O19" s="21" t="n">
        <f aca="false">IF(OR($D19="",$L19=""),"",IF(LEFT(SUBSTITUTE(SUBSTITUTE(SUBSTITUTE(SUBSTITUTE(SUBSTITUTE($D19,".",""),"-","")," ","")," ",""),CHAR(9),""),6)=LEFT(SUBSTITUTE(SUBSTITUTE(SUBSTITUTE(SUBSTITUTE(SUBSTITUTE($L19,".",""),"-","")," ","")," ",""),CHAR(9),""),6),1,0))</f>
        <v>0</v>
      </c>
      <c r="P19" s="21" t="n">
        <f aca="false">IF(OR($D19="",$L19=""),"",IF(OR(LEFT(SUBSTITUTE(SUBSTITUTE(SUBSTITUTE(SUBSTITUTE(SUBSTITUTE($D19,".",""),"-","")," ","")," ",""),CHAR(9),""),6)=LEFT(SUBSTITUTE(SUBSTITUTE(SUBSTITUTE(SUBSTITUTE(SUBSTITUTE($L19,".",""),"-","")," ","")," ",""),CHAR(9),""),6),LEFT(SUBSTITUTE(SUBSTITUTE(SUBSTITUTE(SUBSTITUTE(SUBSTITUTE($D19,".",""),"-","")," ","")," ",""),CHAR(9),""),6)=LEFT(SUBSTITUTE(SUBSTITUTE(SUBSTITUTE(SUBSTITUTE(SUBSTITUTE($M19,".",""),"-","")," ","")," ",""),CHAR(9),""),6),LEFT(SUBSTITUTE(SUBSTITUTE(SUBSTITUTE(SUBSTITUTE(SUBSTITUTE($D19,".",""),"-","")," ","")," ",""),CHAR(9),""),6)=LEFT(SUBSTITUTE(SUBSTITUTE(SUBSTITUTE(SUBSTITUTE(SUBSTITUTE($N19,".",""),"-","")," ","")," ",""),CHAR(9),""),6)),1,0))</f>
        <v>1</v>
      </c>
      <c r="Q19" s="14" t="s">
        <v>202</v>
      </c>
      <c r="R19" s="12" t="s">
        <v>249</v>
      </c>
    </row>
    <row r="20" customFormat="false" ht="39.75" hidden="false" customHeight="true" outlineLevel="0" collapsed="false">
      <c r="A20" s="21" t="n">
        <v>16</v>
      </c>
      <c r="B20" s="22" t="str">
        <f aca="false">IF(케이스목록!$B20="","",케이스목록!$B20)</f>
        <v>품목분류2과-1000</v>
      </c>
      <c r="C20" s="23" t="str">
        <f aca="false">IF(케이스목록!$E20="","",케이스목록!$E20)</f>
        <v>ㅇ 물품개요
- 불활성화 A형 간염 바이러스 항원을 안정제, 보존제, 주사용수 등에 혼합하여 조제한 투명 액상을 주사기(몸체) 모양 용기에 소매 포장하여 냉동한 것(내용량: 1000㎕)
- 용도 : 효소결합면역흡착측정(ELISA)*분석 시 사용되는 기준물질(내부 대조군)
* 항원-항체 반응을 이용하여 항원이나 항체의 양을 측정하는 분석법</v>
      </c>
      <c r="D20" s="24" t="str">
        <f aca="false">IF(케이스목록!$D20="","",케이스목록!$D20)</f>
        <v>3002494000</v>
      </c>
      <c r="E20" s="22" t="str">
        <f aca="false">IF(케이스목록!$H20="","",케이스목록!$H20)</f>
        <v>O</v>
      </c>
      <c r="F20" s="15" t="s">
        <v>60</v>
      </c>
      <c r="G20" s="15" t="s">
        <v>60</v>
      </c>
      <c r="H20" s="13" t="s">
        <v>250</v>
      </c>
      <c r="I20" s="21" t="n">
        <f aca="false">IF(OR($D20="",$H20=""),"",IF(LEFT(SUBSTITUTE(SUBSTITUTE(SUBSTITUTE(SUBSTITUTE(SUBSTITUTE($D20,".",""),"-","")," ","")," ",""),CHAR(9),""),4)=LEFT(SUBSTITUTE(SUBSTITUTE(SUBSTITUTE(SUBSTITUTE(SUBSTITUTE($H20,".",""),"-","")," ","")," ",""),CHAR(9),""),4),1,0))</f>
        <v>0</v>
      </c>
      <c r="J20" s="21" t="n">
        <f aca="false">IF(OR($D20="",$H20=""),"",IF(LEFT(SUBSTITUTE(SUBSTITUTE(SUBSTITUTE(SUBSTITUTE(SUBSTITUTE($D20,".",""),"-","")," ","")," ",""),CHAR(9),""),6)=LEFT(SUBSTITUTE(SUBSTITUTE(SUBSTITUTE(SUBSTITUTE(SUBSTITUTE($H20,".",""),"-","")," ","")," ",""),CHAR(9),""),6),1,0))</f>
        <v>0</v>
      </c>
      <c r="K20" s="21" t="n">
        <f aca="false">IF(OR($D20="",$H20=""),"",IF(SUBSTITUTE(SUBSTITUTE(SUBSTITUTE(SUBSTITUTE(SUBSTITUTE($D20,".",""),"-","")," ","")," ",""),CHAR(9),"")=SUBSTITUTE(SUBSTITUTE(SUBSTITUTE(SUBSTITUTE(SUBSTITUTE($H20,".",""),"-","")," ","")," ",""),CHAR(9),""),1,0))</f>
        <v>0</v>
      </c>
      <c r="L20" s="13" t="s">
        <v>250</v>
      </c>
      <c r="M20" s="13" t="s">
        <v>251</v>
      </c>
      <c r="N20" s="13" t="s">
        <v>252</v>
      </c>
      <c r="O20" s="21" t="n">
        <f aca="false">IF(OR($D20="",$L20=""),"",IF(LEFT(SUBSTITUTE(SUBSTITUTE(SUBSTITUTE(SUBSTITUTE(SUBSTITUTE($D20,".",""),"-","")," ","")," ",""),CHAR(9),""),6)=LEFT(SUBSTITUTE(SUBSTITUTE(SUBSTITUTE(SUBSTITUTE(SUBSTITUTE($L20,".",""),"-","")," ","")," ",""),CHAR(9),""),6),1,0))</f>
        <v>0</v>
      </c>
      <c r="P20" s="21" t="n">
        <f aca="false">IF(OR($D20="",$L20=""),"",IF(OR(LEFT(SUBSTITUTE(SUBSTITUTE(SUBSTITUTE(SUBSTITUTE(SUBSTITUTE($D20,".",""),"-","")," ","")," ",""),CHAR(9),""),6)=LEFT(SUBSTITUTE(SUBSTITUTE(SUBSTITUTE(SUBSTITUTE(SUBSTITUTE($L20,".",""),"-","")," ","")," ",""),CHAR(9),""),6),LEFT(SUBSTITUTE(SUBSTITUTE(SUBSTITUTE(SUBSTITUTE(SUBSTITUTE($D20,".",""),"-","")," ","")," ",""),CHAR(9),""),6)=LEFT(SUBSTITUTE(SUBSTITUTE(SUBSTITUTE(SUBSTITUTE(SUBSTITUTE($M20,".",""),"-","")," ","")," ",""),CHAR(9),""),6),LEFT(SUBSTITUTE(SUBSTITUTE(SUBSTITUTE(SUBSTITUTE(SUBSTITUTE($D20,".",""),"-","")," ","")," ",""),CHAR(9),""),6)=LEFT(SUBSTITUTE(SUBSTITUTE(SUBSTITUTE(SUBSTITUTE(SUBSTITUTE($N20,".",""),"-","")," ","")," ",""),CHAR(9),""),6)),1,0))</f>
        <v>1</v>
      </c>
      <c r="Q20" s="14" t="s">
        <v>253</v>
      </c>
      <c r="R20" s="12" t="s">
        <v>254</v>
      </c>
    </row>
    <row r="21" customFormat="false" ht="39.75" hidden="false" customHeight="true" outlineLevel="0" collapsed="false">
      <c r="A21" s="21" t="n">
        <v>17</v>
      </c>
      <c r="B21" s="22" t="str">
        <f aca="false">IF(케이스목록!$B21="","",케이스목록!$B21)</f>
        <v>품목분류2과-254</v>
      </c>
      <c r="C21" s="23" t="str">
        <f aca="false">IF(케이스목록!$E21="","",케이스목록!$E21)</f>
        <v>o Propanediol(92.5%), Caprylhydroxamic acid(7.5%)로 혼합‧조제된 무색투명 액상
- 용도 : 화장품 제조용 보존제(0.5～1.0% 사용)</v>
      </c>
      <c r="D21" s="24" t="str">
        <f aca="false">IF(케이스목록!$D21="","",케이스목록!$D21)</f>
        <v>3808999000</v>
      </c>
      <c r="E21" s="22" t="str">
        <f aca="false">IF(케이스목록!$H21="","",케이스목록!$H21)</f>
        <v>O</v>
      </c>
      <c r="F21" s="15" t="s">
        <v>60</v>
      </c>
      <c r="G21" s="15" t="s">
        <v>60</v>
      </c>
      <c r="H21" s="13" t="s">
        <v>224</v>
      </c>
      <c r="I21" s="21" t="n">
        <f aca="false">IF(OR($D21="",$H21=""),"",IF(LEFT(SUBSTITUTE(SUBSTITUTE(SUBSTITUTE(SUBSTITUTE(SUBSTITUTE($D21,".",""),"-","")," ","")," ",""),CHAR(9),""),4)=LEFT(SUBSTITUTE(SUBSTITUTE(SUBSTITUTE(SUBSTITUTE(SUBSTITUTE($H21,".",""),"-","")," ","")," ",""),CHAR(9),""),4),1,0))</f>
        <v>0</v>
      </c>
      <c r="J21" s="21" t="n">
        <f aca="false">IF(OR($D21="",$H21=""),"",IF(LEFT(SUBSTITUTE(SUBSTITUTE(SUBSTITUTE(SUBSTITUTE(SUBSTITUTE($D21,".",""),"-","")," ","")," ",""),CHAR(9),""),6)=LEFT(SUBSTITUTE(SUBSTITUTE(SUBSTITUTE(SUBSTITUTE(SUBSTITUTE($H21,".",""),"-","")," ","")," ",""),CHAR(9),""),6),1,0))</f>
        <v>0</v>
      </c>
      <c r="K21" s="21" t="n">
        <f aca="false">IF(OR($D21="",$H21=""),"",IF(SUBSTITUTE(SUBSTITUTE(SUBSTITUTE(SUBSTITUTE(SUBSTITUTE($D21,".",""),"-","")," ","")," ",""),CHAR(9),"")=SUBSTITUTE(SUBSTITUTE(SUBSTITUTE(SUBSTITUTE(SUBSTITUTE($H21,".",""),"-","")," ","")," ",""),CHAR(9),""),1,0))</f>
        <v>0</v>
      </c>
      <c r="L21" s="13" t="s">
        <v>224</v>
      </c>
      <c r="M21" s="13" t="s">
        <v>255</v>
      </c>
      <c r="N21" s="13" t="s">
        <v>256</v>
      </c>
      <c r="O21" s="21" t="n">
        <f aca="false">IF(OR($D21="",$L21=""),"",IF(LEFT(SUBSTITUTE(SUBSTITUTE(SUBSTITUTE(SUBSTITUTE(SUBSTITUTE($D21,".",""),"-","")," ","")," ",""),CHAR(9),""),6)=LEFT(SUBSTITUTE(SUBSTITUTE(SUBSTITUTE(SUBSTITUTE(SUBSTITUTE($L21,".",""),"-","")," ","")," ",""),CHAR(9),""),6),1,0))</f>
        <v>0</v>
      </c>
      <c r="P21" s="21" t="n">
        <f aca="false">IF(OR($D21="",$L21=""),"",IF(OR(LEFT(SUBSTITUTE(SUBSTITUTE(SUBSTITUTE(SUBSTITUTE(SUBSTITUTE($D21,".",""),"-","")," ","")," ",""),CHAR(9),""),6)=LEFT(SUBSTITUTE(SUBSTITUTE(SUBSTITUTE(SUBSTITUTE(SUBSTITUTE($L21,".",""),"-","")," ","")," ",""),CHAR(9),""),6),LEFT(SUBSTITUTE(SUBSTITUTE(SUBSTITUTE(SUBSTITUTE(SUBSTITUTE($D21,".",""),"-","")," ","")," ",""),CHAR(9),""),6)=LEFT(SUBSTITUTE(SUBSTITUTE(SUBSTITUTE(SUBSTITUTE(SUBSTITUTE($M21,".",""),"-","")," ","")," ",""),CHAR(9),""),6),LEFT(SUBSTITUTE(SUBSTITUTE(SUBSTITUTE(SUBSTITUTE(SUBSTITUTE($D21,".",""),"-","")," ","")," ",""),CHAR(9),""),6)=LEFT(SUBSTITUTE(SUBSTITUTE(SUBSTITUTE(SUBSTITUTE(SUBSTITUTE($N21,".",""),"-","")," ","")," ",""),CHAR(9),""),6)),1,0))</f>
        <v>0</v>
      </c>
      <c r="Q21" s="14" t="s">
        <v>202</v>
      </c>
      <c r="R21" s="12" t="s">
        <v>257</v>
      </c>
    </row>
    <row r="22" customFormat="false" ht="39.75" hidden="false" customHeight="true" outlineLevel="0" collapsed="false">
      <c r="A22" s="21" t="n">
        <v>18</v>
      </c>
      <c r="B22" s="22" t="str">
        <f aca="false">IF(케이스목록!$B22="","",케이스목록!$B22)</f>
        <v>품목분류1과-1222</v>
      </c>
      <c r="C22" s="23" t="str">
        <f aca="false">IF(케이스목록!$E22="","",케이스목록!$E22)</f>
        <v> ㅇ 물품개요
- 맥주병박스 형상의 병따개를 들고 있는 두꺼비 형상의 피규어로, 병따개와 피규어에 해당 브랜드 주류의 로고(“TERRA”, “진로”)가 인쇄되어 있음
※ 피규어: 다양한 동작을 표현할 수 있도록 관절이 움직일 수 있게 만들어 놓은, 인간이나 동물 형상의 장난감 (출처: 고려대 한국어대사전)
- 병따개는 피규어로부터 수시로 탈부착 가능(병따개 사용 시 피규어로부터 분리하여 단독으로 사용하여야 함)
※ 사전심사 신청시 제시견본은 병따개가 피규어의 손에 접착제로 붙어있는 상태로 제시되었으나, 업체로부터 제시상태를 재확인한 결과, 병따개를 피규어로부터 수시로 탈부착할 수 있는 상태로 제시상태를 확정함.
- 현재 시중에 해당 브랜드의 두꺼비 캐릭터 굿즈가 다양하게 판매되고 있으나, 본 물품의 피규어와 동일한 형상의 피규어가 병따개 없이 단독으로 판매되고 있지는 않음</v>
      </c>
      <c r="D22" s="24" t="str">
        <f aca="false">IF(케이스목록!$D22="","",케이스목록!$D22)</f>
        <v>8205510000</v>
      </c>
      <c r="E22" s="22" t="str">
        <f aca="false">IF(케이스목록!$H22="","",케이스목록!$H22)</f>
        <v>O</v>
      </c>
      <c r="F22" s="15" t="s">
        <v>60</v>
      </c>
      <c r="G22" s="15" t="s">
        <v>60</v>
      </c>
      <c r="H22" s="13" t="s">
        <v>258</v>
      </c>
      <c r="I22" s="21" t="n">
        <f aca="false">IF(OR($D22="",$H22=""),"",IF(LEFT(SUBSTITUTE(SUBSTITUTE(SUBSTITUTE(SUBSTITUTE(SUBSTITUTE($D22,".",""),"-","")," ","")," ",""),CHAR(9),""),4)=LEFT(SUBSTITUTE(SUBSTITUTE(SUBSTITUTE(SUBSTITUTE(SUBSTITUTE($H22,".",""),"-","")," ","")," ",""),CHAR(9),""),4),1,0))</f>
        <v>0</v>
      </c>
      <c r="J22" s="21" t="n">
        <f aca="false">IF(OR($D22="",$H22=""),"",IF(LEFT(SUBSTITUTE(SUBSTITUTE(SUBSTITUTE(SUBSTITUTE(SUBSTITUTE($D22,".",""),"-","")," ","")," ",""),CHAR(9),""),6)=LEFT(SUBSTITUTE(SUBSTITUTE(SUBSTITUTE(SUBSTITUTE(SUBSTITUTE($H22,".",""),"-","")," ","")," ",""),CHAR(9),""),6),1,0))</f>
        <v>0</v>
      </c>
      <c r="K22" s="21" t="n">
        <f aca="false">IF(OR($D22="",$H22=""),"",IF(SUBSTITUTE(SUBSTITUTE(SUBSTITUTE(SUBSTITUTE(SUBSTITUTE($D22,".",""),"-","")," ","")," ",""),CHAR(9),"")=SUBSTITUTE(SUBSTITUTE(SUBSTITUTE(SUBSTITUTE(SUBSTITUTE($H22,".",""),"-","")," ","")," ",""),CHAR(9),""),1,0))</f>
        <v>0</v>
      </c>
      <c r="L22" s="13" t="s">
        <v>258</v>
      </c>
      <c r="M22" s="13" t="s">
        <v>259</v>
      </c>
      <c r="N22" s="13" t="s">
        <v>220</v>
      </c>
      <c r="O22" s="21" t="n">
        <f aca="false">IF(OR($D22="",$L22=""),"",IF(LEFT(SUBSTITUTE(SUBSTITUTE(SUBSTITUTE(SUBSTITUTE(SUBSTITUTE($D22,".",""),"-","")," ","")," ",""),CHAR(9),""),6)=LEFT(SUBSTITUTE(SUBSTITUTE(SUBSTITUTE(SUBSTITUTE(SUBSTITUTE($L22,".",""),"-","")," ","")," ",""),CHAR(9),""),6),1,0))</f>
        <v>0</v>
      </c>
      <c r="P22" s="21" t="n">
        <f aca="false">IF(OR($D22="",$L22=""),"",IF(OR(LEFT(SUBSTITUTE(SUBSTITUTE(SUBSTITUTE(SUBSTITUTE(SUBSTITUTE($D22,".",""),"-","")," ","")," ",""),CHAR(9),""),6)=LEFT(SUBSTITUTE(SUBSTITUTE(SUBSTITUTE(SUBSTITUTE(SUBSTITUTE($L22,".",""),"-","")," ","")," ",""),CHAR(9),""),6),LEFT(SUBSTITUTE(SUBSTITUTE(SUBSTITUTE(SUBSTITUTE(SUBSTITUTE($D22,".",""),"-","")," ","")," ",""),CHAR(9),""),6)=LEFT(SUBSTITUTE(SUBSTITUTE(SUBSTITUTE(SUBSTITUTE(SUBSTITUTE($M22,".",""),"-","")," ","")," ",""),CHAR(9),""),6),LEFT(SUBSTITUTE(SUBSTITUTE(SUBSTITUTE(SUBSTITUTE(SUBSTITUTE($D22,".",""),"-","")," ","")," ",""),CHAR(9),""),6)=LEFT(SUBSTITUTE(SUBSTITUTE(SUBSTITUTE(SUBSTITUTE(SUBSTITUTE($N22,".",""),"-","")," ","")," ",""),CHAR(9),""),6)),1,0))</f>
        <v>1</v>
      </c>
      <c r="Q22" s="14" t="s">
        <v>237</v>
      </c>
      <c r="R22" s="12" t="s">
        <v>260</v>
      </c>
    </row>
    <row r="23" customFormat="false" ht="39.75" hidden="false" customHeight="true" outlineLevel="0" collapsed="false">
      <c r="A23" s="21" t="n">
        <v>19</v>
      </c>
      <c r="B23" s="22" t="str">
        <f aca="false">IF(케이스목록!$B23="","",케이스목록!$B23)</f>
        <v>품목분류3과-665</v>
      </c>
      <c r="C23" s="23" t="str">
        <f aca="false">IF(케이스목록!$E23="","",케이스목록!$E23)</f>
        <v>ㅇ 물품개요
- PVC 원단과 PE 시트를 적층한 롤 상의 매트(1100×3000×16mm)
- 용도 : 운동 및 놀이 시 층간소음방지, 미끄럼방지 및 충격완화
ㅇ 제조공정
- 무가교+화학가교 PE 시트 합지 → 논슬립 PE 필름 합지 → 발포 PVC 원단 합지 → 폭 컷팅 → 권취 및 숙성 → 길이 재단 → 포장</v>
      </c>
      <c r="D23" s="24" t="str">
        <f aca="false">IF(케이스목록!$D23="","",케이스목록!$D23)</f>
        <v>3918101000</v>
      </c>
      <c r="E23" s="22" t="str">
        <f aca="false">IF(케이스목록!$H23="","",케이스목록!$H23)</f>
        <v>O</v>
      </c>
      <c r="F23" s="15" t="s">
        <v>60</v>
      </c>
      <c r="G23" s="15" t="s">
        <v>60</v>
      </c>
      <c r="H23" s="13" t="s">
        <v>261</v>
      </c>
      <c r="I23" s="21" t="n">
        <f aca="false">IF(OR($D23="",$H23=""),"",IF(LEFT(SUBSTITUTE(SUBSTITUTE(SUBSTITUTE(SUBSTITUTE(SUBSTITUTE($D23,".",""),"-","")," ","")," ",""),CHAR(9),""),4)=LEFT(SUBSTITUTE(SUBSTITUTE(SUBSTITUTE(SUBSTITUTE(SUBSTITUTE($H23,".",""),"-","")," ","")," ",""),CHAR(9),""),4),1,0))</f>
        <v>1</v>
      </c>
      <c r="J23" s="21" t="n">
        <f aca="false">IF(OR($D23="",$H23=""),"",IF(LEFT(SUBSTITUTE(SUBSTITUTE(SUBSTITUTE(SUBSTITUTE(SUBSTITUTE($D23,".",""),"-","")," ","")," ",""),CHAR(9),""),6)=LEFT(SUBSTITUTE(SUBSTITUTE(SUBSTITUTE(SUBSTITUTE(SUBSTITUTE($H23,".",""),"-","")," ","")," ",""),CHAR(9),""),6),1,0))</f>
        <v>1</v>
      </c>
      <c r="K23" s="21" t="n">
        <f aca="false">IF(OR($D23="",$H23=""),"",IF(SUBSTITUTE(SUBSTITUTE(SUBSTITUTE(SUBSTITUTE(SUBSTITUTE($D23,".",""),"-","")," ","")," ",""),CHAR(9),"")=SUBSTITUTE(SUBSTITUTE(SUBSTITUTE(SUBSTITUTE(SUBSTITUTE($H23,".",""),"-","")," ","")," ",""),CHAR(9),""),1,0))</f>
        <v>0</v>
      </c>
      <c r="L23" s="13" t="s">
        <v>261</v>
      </c>
      <c r="M23" s="13" t="s">
        <v>262</v>
      </c>
      <c r="N23" s="13" t="s">
        <v>263</v>
      </c>
      <c r="O23" s="21" t="n">
        <f aca="false">IF(OR($D23="",$L23=""),"",IF(LEFT(SUBSTITUTE(SUBSTITUTE(SUBSTITUTE(SUBSTITUTE(SUBSTITUTE($D23,".",""),"-","")," ","")," ",""),CHAR(9),""),6)=LEFT(SUBSTITUTE(SUBSTITUTE(SUBSTITUTE(SUBSTITUTE(SUBSTITUTE($L23,".",""),"-","")," ","")," ",""),CHAR(9),""),6),1,0))</f>
        <v>1</v>
      </c>
      <c r="P23" s="21" t="n">
        <f aca="false">IF(OR($D23="",$L23=""),"",IF(OR(LEFT(SUBSTITUTE(SUBSTITUTE(SUBSTITUTE(SUBSTITUTE(SUBSTITUTE($D23,".",""),"-","")," ","")," ",""),CHAR(9),""),6)=LEFT(SUBSTITUTE(SUBSTITUTE(SUBSTITUTE(SUBSTITUTE(SUBSTITUTE($L23,".",""),"-","")," ","")," ",""),CHAR(9),""),6),LEFT(SUBSTITUTE(SUBSTITUTE(SUBSTITUTE(SUBSTITUTE(SUBSTITUTE($D23,".",""),"-","")," ","")," ",""),CHAR(9),""),6)=LEFT(SUBSTITUTE(SUBSTITUTE(SUBSTITUTE(SUBSTITUTE(SUBSTITUTE($M23,".",""),"-","")," ","")," ",""),CHAR(9),""),6),LEFT(SUBSTITUTE(SUBSTITUTE(SUBSTITUTE(SUBSTITUTE(SUBSTITUTE($D23,".",""),"-","")," ","")," ",""),CHAR(9),""),6)=LEFT(SUBSTITUTE(SUBSTITUTE(SUBSTITUTE(SUBSTITUTE(SUBSTITUTE($N23,".",""),"-","")," ","")," ",""),CHAR(9),""),6)),1,0))</f>
        <v>1</v>
      </c>
      <c r="Q23" s="14" t="s">
        <v>253</v>
      </c>
      <c r="R23" s="16" t="s">
        <v>264</v>
      </c>
    </row>
    <row r="24" customFormat="false" ht="39.75" hidden="false" customHeight="true" outlineLevel="0" collapsed="false">
      <c r="A24" s="21" t="n">
        <v>20</v>
      </c>
      <c r="B24" s="22" t="str">
        <f aca="false">IF(케이스목록!$B24="","",케이스목록!$B24)</f>
        <v>품목분류1과-227</v>
      </c>
      <c r="C24" s="23" t="str">
        <f aca="false">IF(케이스목록!$E24="","",케이스목록!$E24)</f>
        <v>ㅇ 물품개요
- 냉장, 냉동, 김치냉장고로 변온 가능한 1도어 냉동/냉장고로 외부에 온도를 조절할 수 있는 디스플레이*가 설치되어 있음
* 디스플레이 터치패널에 냉동/냉장기능을 선택할 수 있는 ‘온도설정’ 버튼과 김치냉장고로 기능을 전환하는 ‘김치저장’ 버튼이 있음
- 냉동은 –17℃∼-23℃ 사이, 냉장은 5℃∼0℃에서 조절함(온도 설정 버튼으로 전환)
- 규격 : 455 × 1,853 × 685㎜, 용량 : 240ℓ
ㅇ 주요 구성요소
- 압축기 : 냉매를 고압 상태로 압축함
- 응축기 : 고온 고압 냉매를 응축시킴
- 증발기 : 냉매 증발로
- Cabinet : 저온의 온도를 유지하기 위한 본체(단열재 두께 55㎜)
- Door : 내용물을 넣고 빼고 할 수 있는 도어
ㅇ 기능
① 냉동 : 냉동 온도를 유지할 수 있는 단열재 두께(55㎜)*를 가진 Cabinet과 냉각 능력의 압축기**로 구성됨
* 냉장고 Cabinet의 경우 일반적으로 40㎜ 내외의 단열재 두께를 가짐
** 190㎉/Hr 출력의 냉매 용량 11㏄급 압축기가 설치되어 있으며, 해당 압축기가 상시 작동하여 냉매를 압축시키고 증발기를 통해 냉매를 기화시켜 냉동 온도(–17℃∼-23℃)를 유지할 수 있도록 냉각함
② 냉장, 김치 : 냉장 설정하는 경우 3℃, 김치 설정의 경우 0℃∼1℃를 유지할 수 있도록 압축기를 On/Off 하여 목표 온도에 도달하면 압축기가 정지하고, 기준 온도를 벗어나면 다시 압축기가 작동하여 고내 온도를 유지 (압축기를 냉동기능 활용 시에 비해 저 RPM으로 회전시켜 효율을 극대화)</v>
      </c>
      <c r="D24" s="24" t="str">
        <f aca="false">IF(케이스목록!$D24="","",케이스목록!$D24)</f>
        <v>8418400000</v>
      </c>
      <c r="E24" s="22" t="str">
        <f aca="false">IF(케이스목록!$H24="","",케이스목록!$H24)</f>
        <v>O</v>
      </c>
      <c r="F24" s="15" t="s">
        <v>60</v>
      </c>
      <c r="G24" s="15" t="s">
        <v>60</v>
      </c>
      <c r="H24" s="13" t="s">
        <v>265</v>
      </c>
      <c r="I24" s="21" t="n">
        <f aca="false">IF(OR($D24="",$H24=""),"",IF(LEFT(SUBSTITUTE(SUBSTITUTE(SUBSTITUTE(SUBSTITUTE(SUBSTITUTE($D24,".",""),"-","")," ","")," ",""),CHAR(9),""),4)=LEFT(SUBSTITUTE(SUBSTITUTE(SUBSTITUTE(SUBSTITUTE(SUBSTITUTE($H24,".",""),"-","")," ","")," ",""),CHAR(9),""),4),1,0))</f>
        <v>1</v>
      </c>
      <c r="J24" s="21" t="n">
        <f aca="false">IF(OR($D24="",$H24=""),"",IF(LEFT(SUBSTITUTE(SUBSTITUTE(SUBSTITUTE(SUBSTITUTE(SUBSTITUTE($D24,".",""),"-","")," ","")," ",""),CHAR(9),""),6)=LEFT(SUBSTITUTE(SUBSTITUTE(SUBSTITUTE(SUBSTITUTE(SUBSTITUTE($H24,".",""),"-","")," ","")," ",""),CHAR(9),""),6),1,0))</f>
        <v>1</v>
      </c>
      <c r="K24" s="21" t="n">
        <f aca="false">IF(OR($D24="",$H24=""),"",IF(SUBSTITUTE(SUBSTITUTE(SUBSTITUTE(SUBSTITUTE(SUBSTITUTE($D24,".",""),"-","")," ","")," ",""),CHAR(9),"")=SUBSTITUTE(SUBSTITUTE(SUBSTITUTE(SUBSTITUTE(SUBSTITUTE($H24,".",""),"-","")," ","")," ",""),CHAR(9),""),1,0))</f>
        <v>0</v>
      </c>
      <c r="L24" s="13" t="s">
        <v>265</v>
      </c>
      <c r="M24" s="13" t="s">
        <v>266</v>
      </c>
      <c r="N24" s="13" t="s">
        <v>267</v>
      </c>
      <c r="O24" s="21" t="n">
        <f aca="false">IF(OR($D24="",$L24=""),"",IF(LEFT(SUBSTITUTE(SUBSTITUTE(SUBSTITUTE(SUBSTITUTE(SUBSTITUTE($D24,".",""),"-","")," ","")," ",""),CHAR(9),""),6)=LEFT(SUBSTITUTE(SUBSTITUTE(SUBSTITUTE(SUBSTITUTE(SUBSTITUTE($L24,".",""),"-","")," ","")," ",""),CHAR(9),""),6),1,0))</f>
        <v>1</v>
      </c>
      <c r="P24" s="21" t="n">
        <f aca="false">IF(OR($D24="",$L24=""),"",IF(OR(LEFT(SUBSTITUTE(SUBSTITUTE(SUBSTITUTE(SUBSTITUTE(SUBSTITUTE($D24,".",""),"-","")," ","")," ",""),CHAR(9),""),6)=LEFT(SUBSTITUTE(SUBSTITUTE(SUBSTITUTE(SUBSTITUTE(SUBSTITUTE($L24,".",""),"-","")," ","")," ",""),CHAR(9),""),6),LEFT(SUBSTITUTE(SUBSTITUTE(SUBSTITUTE(SUBSTITUTE(SUBSTITUTE($D24,".",""),"-","")," ","")," ",""),CHAR(9),""),6)=LEFT(SUBSTITUTE(SUBSTITUTE(SUBSTITUTE(SUBSTITUTE(SUBSTITUTE($M24,".",""),"-","")," ","")," ",""),CHAR(9),""),6),LEFT(SUBSTITUTE(SUBSTITUTE(SUBSTITUTE(SUBSTITUTE(SUBSTITUTE($D24,".",""),"-","")," ","")," ",""),CHAR(9),""),6)=LEFT(SUBSTITUTE(SUBSTITUTE(SUBSTITUTE(SUBSTITUTE(SUBSTITUTE($N24,".",""),"-","")," ","")," ",""),CHAR(9),""),6)),1,0))</f>
        <v>1</v>
      </c>
      <c r="Q24" s="14" t="s">
        <v>207</v>
      </c>
      <c r="R24" s="16"/>
    </row>
    <row r="25" customFormat="false" ht="39.75" hidden="false" customHeight="true" outlineLevel="0" collapsed="false">
      <c r="A25" s="21" t="n">
        <v>21</v>
      </c>
      <c r="B25" s="22" t="str">
        <f aca="false">IF(케이스목록!$B25="","",케이스목록!$B25)</f>
        <v>품목분류4과-136</v>
      </c>
      <c r="C25" s="23" t="str">
        <f aca="false">IF(케이스목록!$E25="","",케이스목록!$E25)</f>
        <v>ㅇ 물품개요
- 의자의 좌판과 하부 베이스를 연결하며 내부에 충전된 질소가스를 이용하여 실린더 내부 ROD의 상하운동을 발생시켜 의자의 높낮이를 조절하는 물품
- 재질 : Steel, 플라스틱, 고무 등
1. RUBBER (고무)
- 실린더 내부 기밀성을 보조하고, 외부 충격 및 마찰을 줄임
- 완충 및 밀봉 역할
2. ROD (로드)
- 피스톤과 연결되어 의자의 상하 운동을 직접적으로 전달
- 위아래로 움직이며 높이 조절의 핵심 축 역할
3. CAN (캔)
- 가스가 충전된 용기 부분으로, 압축가스를 저장
- 내부 압력으로 피스톤을 밀어내어 의자를 들어올릴 수 있도록 함
4. BUSHING (부싱)
- 로드가 움직일 때 마찰을 줄여주고, 직선 운동을 안정적으로 안내
- 마모 방지 및 수명 연장 역할.
5. OUTER PIPE (외관 파이프)
- 전체 실린더를 감싸는 외부 구조물.
- 안전을 위해 가스실린더의 내부 압력 부품을 보호
6. BUTTON (버튼)
- 사용자가 누르면 내부 밸브(게이트)가 열려 가스의 흐름을 제어
- 의자의 높낮이 조절 시작 동작
7. BUTTON GUIDE (버튼 가이드)
- 버튼의 위치와 움직임을 일정하게 유지하도록 안내하는 부품.
- 밸브 작동을 정확하게 유도
8. HATCH ASSY (해치 어셈블리)
- 버튼과 연결된 밸브 장치.
- 버튼 조작 시 내부 게이트가 열리도록 제어
9. PISTON (피스톤)
- 압축가스의 힘을 받아 로드를 위로 밀어올리는 부품.
- 의자가 올라가는 동력 발생 부분
10. GATE (게이트)
- 버튼을 눌렀을 때 열리고 닫히는 밸브 역할
- 가스의 흐름을 제어하여 의자의 높낮이가 조절
11. GAS SEAL (가스 씰)
- 내부 압축가스가 새지 않도록 밀봉.
- 기밀 유지 및 안정적인 작동 보장.
12. RIGID (리지드 부품)
- 구조적 강도를 확보하는 보강 부품.
- 피스톤과 게이트 주변을 견고하게 지지
13. BEARING ASSY (베어링 어셈블리)
- 회전 및 직선 운동 시 마찰을 줄여 원활한 작동을 도움
14. CUP (컵)
- 가스 누설 방지 및 충격 흡수용 보조 밀폐 부품.
- 로드의 왕복 운동에서 밀봉 성능 보완.
ㅇ 작동원리
- 버튼을 누르면 내부 밸브(게이트)가 열리고
- (상향 조정) 내부 압축가스가 피스톤을 밀어 올리면서 로드가 위로 이동하여 의자 높이 상승
- (하향 조정) 사용자가 앉아 있는 상태에서 버튼을 누르면, 체중으로 인해 피스톤이 눌려 가스가 재배치되며 로드가 내려가고 의자 높이 하강
.
- (높이 고정) 버튼에서 손을 떼면 게이트가 닫히고, 원하는 높이에서 고정</v>
      </c>
      <c r="D25" s="24" t="str">
        <f aca="false">IF(케이스목록!$D25="","",케이스목록!$D25)</f>
        <v>9401991000</v>
      </c>
      <c r="E25" s="22" t="str">
        <f aca="false">IF(케이스목록!$H25="","",케이스목록!$H25)</f>
        <v>O</v>
      </c>
      <c r="F25" s="15" t="s">
        <v>60</v>
      </c>
      <c r="G25" s="15" t="s">
        <v>60</v>
      </c>
      <c r="H25" s="13" t="s">
        <v>268</v>
      </c>
      <c r="I25" s="21" t="n">
        <f aca="false">IF(OR($D25="",$H25=""),"",IF(LEFT(SUBSTITUTE(SUBSTITUTE(SUBSTITUTE(SUBSTITUTE(SUBSTITUTE($D25,".",""),"-","")," ","")," ",""),CHAR(9),""),4)=LEFT(SUBSTITUTE(SUBSTITUTE(SUBSTITUTE(SUBSTITUTE(SUBSTITUTE($H25,".",""),"-","")," ","")," ",""),CHAR(9),""),4),1,0))</f>
        <v>0</v>
      </c>
      <c r="J25" s="21" t="n">
        <f aca="false">IF(OR($D25="",$H25=""),"",IF(LEFT(SUBSTITUTE(SUBSTITUTE(SUBSTITUTE(SUBSTITUTE(SUBSTITUTE($D25,".",""),"-","")," ","")," ",""),CHAR(9),""),6)=LEFT(SUBSTITUTE(SUBSTITUTE(SUBSTITUTE(SUBSTITUTE(SUBSTITUTE($H25,".",""),"-","")," ","")," ",""),CHAR(9),""),6),1,0))</f>
        <v>0</v>
      </c>
      <c r="K25" s="21" t="n">
        <f aca="false">IF(OR($D25="",$H25=""),"",IF(SUBSTITUTE(SUBSTITUTE(SUBSTITUTE(SUBSTITUTE(SUBSTITUTE($D25,".",""),"-","")," ","")," ",""),CHAR(9),"")=SUBSTITUTE(SUBSTITUTE(SUBSTITUTE(SUBSTITUTE(SUBSTITUTE($H25,".",""),"-","")," ","")," ",""),CHAR(9),""),1,0))</f>
        <v>0</v>
      </c>
      <c r="L25" s="13" t="s">
        <v>268</v>
      </c>
      <c r="M25" s="13" t="s">
        <v>269</v>
      </c>
      <c r="N25" s="13" t="s">
        <v>270</v>
      </c>
      <c r="O25" s="21" t="n">
        <f aca="false">IF(OR($D25="",$L25=""),"",IF(LEFT(SUBSTITUTE(SUBSTITUTE(SUBSTITUTE(SUBSTITUTE(SUBSTITUTE($D25,".",""),"-","")," ","")," ",""),CHAR(9),""),6)=LEFT(SUBSTITUTE(SUBSTITUTE(SUBSTITUTE(SUBSTITUTE(SUBSTITUTE($L25,".",""),"-","")," ","")," ",""),CHAR(9),""),6),1,0))</f>
        <v>0</v>
      </c>
      <c r="P25" s="21" t="n">
        <f aca="false">IF(OR($D25="",$L25=""),"",IF(OR(LEFT(SUBSTITUTE(SUBSTITUTE(SUBSTITUTE(SUBSTITUTE(SUBSTITUTE($D25,".",""),"-","")," ","")," ",""),CHAR(9),""),6)=LEFT(SUBSTITUTE(SUBSTITUTE(SUBSTITUTE(SUBSTITUTE(SUBSTITUTE($L25,".",""),"-","")," ","")," ",""),CHAR(9),""),6),LEFT(SUBSTITUTE(SUBSTITUTE(SUBSTITUTE(SUBSTITUTE(SUBSTITUTE($D25,".",""),"-","")," ","")," ",""),CHAR(9),""),6)=LEFT(SUBSTITUTE(SUBSTITUTE(SUBSTITUTE(SUBSTITUTE(SUBSTITUTE($M25,".",""),"-","")," ","")," ",""),CHAR(9),""),6),LEFT(SUBSTITUTE(SUBSTITUTE(SUBSTITUTE(SUBSTITUTE(SUBSTITUTE($D25,".",""),"-","")," ","")," ",""),CHAR(9),""),6)=LEFT(SUBSTITUTE(SUBSTITUTE(SUBSTITUTE(SUBSTITUTE(SUBSTITUTE($N25,".",""),"-","")," ","")," ",""),CHAR(9),""),6)),1,0))</f>
        <v>1</v>
      </c>
      <c r="Q25" s="14" t="s">
        <v>202</v>
      </c>
      <c r="R25" s="12" t="s">
        <v>271</v>
      </c>
    </row>
    <row r="26" customFormat="false" ht="39.75" hidden="false" customHeight="true" outlineLevel="0" collapsed="false">
      <c r="A26" s="21" t="n">
        <v>22</v>
      </c>
      <c r="B26" s="22" t="str">
        <f aca="false">IF(케이스목록!$B26="","",케이스목록!$B26)</f>
        <v>품목분류4과-676</v>
      </c>
      <c r="C26" s="23" t="str">
        <f aca="false">IF(케이스목록!$E26="","",케이스목록!$E26)</f>
        <v>ㅇ (개요) 수용성고분자(Cas No. 577705-43-2), 물로 구성된 투명한 점조 액상
[제시자료]
- (성분)
- (수용성고분자 구조식) 아크릴산과 VPEG*의 공중합체
* 비닐기를 가진 폴리옥시에틸렌(폴리에틸렌 글리콜) 모노메탈릴 에테르
(CAS No. 31497-33-3)
- 주쇄**가 아크릴산으로 형성되고, VPEG가 가지형태로 결합된 구조
** 주쇄 : 고분자 화합물의 핵심 골격을 이루는 사슬
- (반복단위 수) 아크릴산 29, VPEG 13 → 중합도 5 이상
- (생산 중량비) VPEG : 아크릴산 = 100 : 13***
*** 중량 백분율 : VPEG[88.5%, 100/(100+13)*100],
아크릴산[11.5%, 13/(100+13)*100]
ㅇ (용도) 콘크리트 혼화제(특정한 성능을 부여하는 첨가제) 원료
- 콘크리트는 일반적으로 시멘트, 자갈, 모래, 물을 주원료로 하여 제조
- 콘크리트의 강도를 높이기 위해 물의 양을 줄이게 되면, 반죽의 점도가 높아져 작업성이 저하되는 문제가 발생할 수 있음
- 본건 물품은 시멘트 입자를 효과적으로 분산시켜 물의 양을 줄이더라도 반죽이 과도하게 되직해지지 않도록 도와주며, 작업성과 강도를 동시에 확보할 수 있도록 함
ㅇ (분석결과) Polyethylene glycol monomethallyl ether(폴리옥시에틸렌, 최대중량, 95% 미만)와 아크릴산의 공중합체, 물로 구성된 미황색 투명 점조액상[중합도 5 이상, 20℃에서 0.5% 수용액의 표면장력이 45dyne/cm 초과]</v>
      </c>
      <c r="D26" s="24" t="str">
        <f aca="false">IF(케이스목록!$D26="","",케이스목록!$D26)</f>
        <v>3907291090</v>
      </c>
      <c r="E26" s="22" t="str">
        <f aca="false">IF(케이스목록!$H26="","",케이스목록!$H26)</f>
        <v>O</v>
      </c>
      <c r="F26" s="15" t="s">
        <v>60</v>
      </c>
      <c r="G26" s="15" t="s">
        <v>60</v>
      </c>
      <c r="H26" s="13" t="s">
        <v>272</v>
      </c>
      <c r="I26" s="21" t="n">
        <f aca="false">IF(OR($D26="",$H26=""),"",IF(LEFT(SUBSTITUTE(SUBSTITUTE(SUBSTITUTE(SUBSTITUTE(SUBSTITUTE($D26,".",""),"-","")," ","")," ",""),CHAR(9),""),4)=LEFT(SUBSTITUTE(SUBSTITUTE(SUBSTITUTE(SUBSTITUTE(SUBSTITUTE($H26,".",""),"-","")," ","")," ",""),CHAR(9),""),4),1,0))</f>
        <v>1</v>
      </c>
      <c r="J26" s="21" t="n">
        <f aca="false">IF(OR($D26="",$H26=""),"",IF(LEFT(SUBSTITUTE(SUBSTITUTE(SUBSTITUTE(SUBSTITUTE(SUBSTITUTE($D26,".",""),"-","")," ","")," ",""),CHAR(9),""),6)=LEFT(SUBSTITUTE(SUBSTITUTE(SUBSTITUTE(SUBSTITUTE(SUBSTITUTE($H26,".",""),"-","")," ","")," ",""),CHAR(9),""),6),1,0))</f>
        <v>1</v>
      </c>
      <c r="K26" s="21" t="n">
        <f aca="false">IF(OR($D26="",$H26=""),"",IF(SUBSTITUTE(SUBSTITUTE(SUBSTITUTE(SUBSTITUTE(SUBSTITUTE($D26,".",""),"-","")," ","")," ",""),CHAR(9),"")=SUBSTITUTE(SUBSTITUTE(SUBSTITUTE(SUBSTITUTE(SUBSTITUTE($H26,".",""),"-","")," ","")," ",""),CHAR(9),""),1,0))</f>
        <v>0</v>
      </c>
      <c r="L26" s="13" t="s">
        <v>272</v>
      </c>
      <c r="M26" s="13" t="s">
        <v>273</v>
      </c>
      <c r="N26" s="13" t="s">
        <v>274</v>
      </c>
      <c r="O26" s="21" t="n">
        <f aca="false">IF(OR($D26="",$L26=""),"",IF(LEFT(SUBSTITUTE(SUBSTITUTE(SUBSTITUTE(SUBSTITUTE(SUBSTITUTE($D26,".",""),"-","")," ","")," ",""),CHAR(9),""),6)=LEFT(SUBSTITUTE(SUBSTITUTE(SUBSTITUTE(SUBSTITUTE(SUBSTITUTE($L26,".",""),"-","")," ","")," ",""),CHAR(9),""),6),1,0))</f>
        <v>1</v>
      </c>
      <c r="P26" s="21" t="n">
        <f aca="false">IF(OR($D26="",$L26=""),"",IF(OR(LEFT(SUBSTITUTE(SUBSTITUTE(SUBSTITUTE(SUBSTITUTE(SUBSTITUTE($D26,".",""),"-","")," ","")," ",""),CHAR(9),""),6)=LEFT(SUBSTITUTE(SUBSTITUTE(SUBSTITUTE(SUBSTITUTE(SUBSTITUTE($L26,".",""),"-","")," ","")," ",""),CHAR(9),""),6),LEFT(SUBSTITUTE(SUBSTITUTE(SUBSTITUTE(SUBSTITUTE(SUBSTITUTE($D26,".",""),"-","")," ","")," ",""),CHAR(9),""),6)=LEFT(SUBSTITUTE(SUBSTITUTE(SUBSTITUTE(SUBSTITUTE(SUBSTITUTE($M26,".",""),"-","")," ","")," ",""),CHAR(9),""),6),LEFT(SUBSTITUTE(SUBSTITUTE(SUBSTITUTE(SUBSTITUTE(SUBSTITUTE($D26,".",""),"-","")," ","")," ",""),CHAR(9),""),6)=LEFT(SUBSTITUTE(SUBSTITUTE(SUBSTITUTE(SUBSTITUTE(SUBSTITUTE($N26,".",""),"-","")," ","")," ",""),CHAR(9),""),6)),1,0))</f>
        <v>1</v>
      </c>
      <c r="Q26" s="14" t="s">
        <v>207</v>
      </c>
      <c r="R26" s="12" t="s">
        <v>275</v>
      </c>
    </row>
    <row r="27" customFormat="false" ht="39.75" hidden="false" customHeight="true" outlineLevel="0" collapsed="false">
      <c r="A27" s="21" t="n">
        <v>23</v>
      </c>
      <c r="B27" s="22" t="str">
        <f aca="false">IF(케이스목록!$B27="","",케이스목록!$B27)</f>
        <v>품목분류4과-174</v>
      </c>
      <c r="C27" s="23" t="str">
        <f aca="false">IF(케이스목록!$E27="","",케이스목록!$E27)</f>
        <v> ㅇ 물품개요
- 바깥바닥은 플라스틱, 갑피는 가죽으로 만든 발목을 덮지 않고 발가락, 발등, 뒤꿈치의 일부분이 노출되는 샌들형태의 신발
- 제시성분(바깥바닥: 폴리우레탄, 갑피: 소가죽 100%)</v>
      </c>
      <c r="D27" s="24" t="str">
        <f aca="false">IF(케이스목록!$D27="","",케이스목록!$D27)</f>
        <v>6403999000</v>
      </c>
      <c r="E27" s="22" t="str">
        <f aca="false">IF(케이스목록!$H27="","",케이스목록!$H27)</f>
        <v>O</v>
      </c>
      <c r="F27" s="15" t="s">
        <v>60</v>
      </c>
      <c r="G27" s="15" t="s">
        <v>60</v>
      </c>
      <c r="H27" s="13" t="s">
        <v>276</v>
      </c>
      <c r="I27" s="21" t="n">
        <f aca="false">IF(OR($D27="",$H27=""),"",IF(LEFT(SUBSTITUTE(SUBSTITUTE(SUBSTITUTE(SUBSTITUTE(SUBSTITUTE($D27,".",""),"-","")," ","")," ",""),CHAR(9),""),4)=LEFT(SUBSTITUTE(SUBSTITUTE(SUBSTITUTE(SUBSTITUTE(SUBSTITUTE($H27,".",""),"-","")," ","")," ",""),CHAR(9),""),4),1,0))</f>
        <v>1</v>
      </c>
      <c r="J27" s="21" t="n">
        <f aca="false">IF(OR($D27="",$H27=""),"",IF(LEFT(SUBSTITUTE(SUBSTITUTE(SUBSTITUTE(SUBSTITUTE(SUBSTITUTE($D27,".",""),"-","")," ","")," ",""),CHAR(9),""),6)=LEFT(SUBSTITUTE(SUBSTITUTE(SUBSTITUTE(SUBSTITUTE(SUBSTITUTE($H27,".",""),"-","")," ","")," ",""),CHAR(9),""),6),1,0))</f>
        <v>1</v>
      </c>
      <c r="K27" s="21" t="n">
        <f aca="false">IF(OR($D27="",$H27=""),"",IF(SUBSTITUTE(SUBSTITUTE(SUBSTITUTE(SUBSTITUTE(SUBSTITUTE($D27,".",""),"-","")," ","")," ",""),CHAR(9),"")=SUBSTITUTE(SUBSTITUTE(SUBSTITUTE(SUBSTITUTE(SUBSTITUTE($H27,".",""),"-","")," ","")," ",""),CHAR(9),""),1,0))</f>
        <v>0</v>
      </c>
      <c r="L27" s="13" t="s">
        <v>277</v>
      </c>
      <c r="M27" s="13" t="s">
        <v>278</v>
      </c>
      <c r="N27" s="13" t="s">
        <v>279</v>
      </c>
      <c r="O27" s="21" t="n">
        <f aca="false">IF(OR($D27="",$L27=""),"",IF(LEFT(SUBSTITUTE(SUBSTITUTE(SUBSTITUTE(SUBSTITUTE(SUBSTITUTE($D27,".",""),"-","")," ","")," ",""),CHAR(9),""),6)=LEFT(SUBSTITUTE(SUBSTITUTE(SUBSTITUTE(SUBSTITUTE(SUBSTITUTE($L27,".",""),"-","")," ","")," ",""),CHAR(9),""),6),1,0))</f>
        <v>1</v>
      </c>
      <c r="P27" s="21" t="n">
        <f aca="false">IF(OR($D27="",$L27=""),"",IF(OR(LEFT(SUBSTITUTE(SUBSTITUTE(SUBSTITUTE(SUBSTITUTE(SUBSTITUTE($D27,".",""),"-","")," ","")," ",""),CHAR(9),""),6)=LEFT(SUBSTITUTE(SUBSTITUTE(SUBSTITUTE(SUBSTITUTE(SUBSTITUTE($L27,".",""),"-","")," ","")," ",""),CHAR(9),""),6),LEFT(SUBSTITUTE(SUBSTITUTE(SUBSTITUTE(SUBSTITUTE(SUBSTITUTE($D27,".",""),"-","")," ","")," ",""),CHAR(9),""),6)=LEFT(SUBSTITUTE(SUBSTITUTE(SUBSTITUTE(SUBSTITUTE(SUBSTITUTE($M27,".",""),"-","")," ","")," ",""),CHAR(9),""),6),LEFT(SUBSTITUTE(SUBSTITUTE(SUBSTITUTE(SUBSTITUTE(SUBSTITUTE($D27,".",""),"-","")," ","")," ",""),CHAR(9),""),6)=LEFT(SUBSTITUTE(SUBSTITUTE(SUBSTITUTE(SUBSTITUTE(SUBSTITUTE($N27,".",""),"-","")," ","")," ",""),CHAR(9),""),6)),1,0))</f>
        <v>1</v>
      </c>
      <c r="Q27" s="14" t="s">
        <v>280</v>
      </c>
      <c r="R27" s="12" t="s">
        <v>281</v>
      </c>
    </row>
    <row r="28" customFormat="false" ht="39.75" hidden="false" customHeight="true" outlineLevel="0" collapsed="false">
      <c r="A28" s="21" t="n">
        <v>24</v>
      </c>
      <c r="B28" s="22" t="str">
        <f aca="false">IF(케이스목록!$B28="","",케이스목록!$B28)</f>
        <v>품목분류3과-183</v>
      </c>
      <c r="C28" s="23" t="str">
        <f aca="false">IF(케이스목록!$E28="","",케이스목록!$E28)</f>
        <v>ㅇ 물품개요
- Rear Arm, Front Arm, Clamp, VESA Plate, 볼트 등이 미조립 상태로 포장된 것으로, 조립하면 모니터용 ARM이 완성됨
- 책상에 고정되어 모니터 지지 및 위치를 조절해 주는 기능을 수행
ㅇ 주요 구성요소별 기능
- VESA Plate : 모니터 후면에 결합 부분
- Front Arm(상부) : VESA Plate와 Rear Arm 사이 연결 부분, Gas Spring이 내장되어 있어, 시용자의 요구에 따라 상하·좌우·전후로 움직임 가능
- Rear Arm(하부) : Front Arm과 Clamp 연결 부분, 좌우 방향으로 움직임 가능
- Clamp(2종) : 책상에 고정해 주는 부분으로 클램프 타입과 홀 타입로 구성되며, 장착 방법에 따라 선택적 사용됨(미선택 타입은 미사용됨)
ㅇ 구성 요소별 상세 중량
- 각각의 구성요소는 주로 철강과 알루미늄으로 구성되며, 조립 완성된 물품의 경우 선택되는 클램프 타입에 따라 철강 또는 알루미늄이 최대 중량임
* 클램프 타입인 경우 철강이, 홀 타입인 경우 알루미늄이 최대 중량임</v>
      </c>
      <c r="D28" s="24" t="str">
        <f aca="false">IF(케이스목록!$D28="","",케이스목록!$D28)</f>
        <v>7616999090</v>
      </c>
      <c r="E28" s="22" t="str">
        <f aca="false">IF(케이스목록!$H28="","",케이스목록!$H28)</f>
        <v>O</v>
      </c>
      <c r="F28" s="15" t="s">
        <v>60</v>
      </c>
      <c r="G28" s="15" t="s">
        <v>60</v>
      </c>
      <c r="H28" s="13" t="s">
        <v>282</v>
      </c>
      <c r="I28" s="21" t="n">
        <f aca="false">IF(OR($D28="",$H28=""),"",IF(LEFT(SUBSTITUTE(SUBSTITUTE(SUBSTITUTE(SUBSTITUTE(SUBSTITUTE($D28,".",""),"-","")," ","")," ",""),CHAR(9),""),4)=LEFT(SUBSTITUTE(SUBSTITUTE(SUBSTITUTE(SUBSTITUTE(SUBSTITUTE($H28,".",""),"-","")," ","")," ",""),CHAR(9),""),4),1,0))</f>
        <v>0</v>
      </c>
      <c r="J28" s="21" t="n">
        <f aca="false">IF(OR($D28="",$H28=""),"",IF(LEFT(SUBSTITUTE(SUBSTITUTE(SUBSTITUTE(SUBSTITUTE(SUBSTITUTE($D28,".",""),"-","")," ","")," ",""),CHAR(9),""),6)=LEFT(SUBSTITUTE(SUBSTITUTE(SUBSTITUTE(SUBSTITUTE(SUBSTITUTE($H28,".",""),"-","")," ","")," ",""),CHAR(9),""),6),1,0))</f>
        <v>0</v>
      </c>
      <c r="K28" s="21" t="n">
        <f aca="false">IF(OR($D28="",$H28=""),"",IF(SUBSTITUTE(SUBSTITUTE(SUBSTITUTE(SUBSTITUTE(SUBSTITUTE($D28,".",""),"-","")," ","")," ",""),CHAR(9),"")=SUBSTITUTE(SUBSTITUTE(SUBSTITUTE(SUBSTITUTE(SUBSTITUTE($H28,".",""),"-","")," ","")," ",""),CHAR(9),""),1,0))</f>
        <v>0</v>
      </c>
      <c r="L28" s="13" t="s">
        <v>282</v>
      </c>
      <c r="M28" s="13" t="s">
        <v>283</v>
      </c>
      <c r="N28" s="13" t="s">
        <v>284</v>
      </c>
      <c r="O28" s="21" t="n">
        <f aca="false">IF(OR($D28="",$L28=""),"",IF(LEFT(SUBSTITUTE(SUBSTITUTE(SUBSTITUTE(SUBSTITUTE(SUBSTITUTE($D28,".",""),"-","")," ","")," ",""),CHAR(9),""),6)=LEFT(SUBSTITUTE(SUBSTITUTE(SUBSTITUTE(SUBSTITUTE(SUBSTITUTE($L28,".",""),"-","")," ","")," ",""),CHAR(9),""),6),1,0))</f>
        <v>0</v>
      </c>
      <c r="P28" s="21" t="n">
        <f aca="false">IF(OR($D28="",$L28=""),"",IF(OR(LEFT(SUBSTITUTE(SUBSTITUTE(SUBSTITUTE(SUBSTITUTE(SUBSTITUTE($D28,".",""),"-","")," ","")," ",""),CHAR(9),""),6)=LEFT(SUBSTITUTE(SUBSTITUTE(SUBSTITUTE(SUBSTITUTE(SUBSTITUTE($L28,".",""),"-","")," ","")," ",""),CHAR(9),""),6),LEFT(SUBSTITUTE(SUBSTITUTE(SUBSTITUTE(SUBSTITUTE(SUBSTITUTE($D28,".",""),"-","")," ","")," ",""),CHAR(9),""),6)=LEFT(SUBSTITUTE(SUBSTITUTE(SUBSTITUTE(SUBSTITUTE(SUBSTITUTE($M28,".",""),"-","")," ","")," ",""),CHAR(9),""),6),LEFT(SUBSTITUTE(SUBSTITUTE(SUBSTITUTE(SUBSTITUTE(SUBSTITUTE($D28,".",""),"-","")," ","")," ",""),CHAR(9),""),6)=LEFT(SUBSTITUTE(SUBSTITUTE(SUBSTITUTE(SUBSTITUTE(SUBSTITUTE($N28,".",""),"-","")," ","")," ",""),CHAR(9),""),6)),1,0))</f>
        <v>0</v>
      </c>
      <c r="Q28" s="14" t="s">
        <v>285</v>
      </c>
      <c r="R28" s="16" t="s">
        <v>286</v>
      </c>
    </row>
    <row r="29" customFormat="false" ht="39.75" hidden="false" customHeight="true" outlineLevel="0" collapsed="false">
      <c r="A29" s="21" t="n">
        <v>25</v>
      </c>
      <c r="B29" s="22" t="str">
        <f aca="false">IF(케이스목록!$B29="","",케이스목록!$B29)</f>
        <v>품목분류2과-1452</v>
      </c>
      <c r="C29" s="23" t="str">
        <f aca="false">IF(케이스목록!$E29="","",케이스목록!$E29)</f>
        <v>ㅇ 물품개요
- 상기 성분으로 혼합된 황색∼갈색계 점조액상
- 용도 : 식용</v>
      </c>
      <c r="D29" s="24" t="str">
        <f aca="false">IF(케이스목록!$D29="","",케이스목록!$D29)</f>
        <v>0409000000</v>
      </c>
      <c r="E29" s="22" t="str">
        <f aca="false">IF(케이스목록!$H29="","",케이스목록!$H29)</f>
        <v>O</v>
      </c>
      <c r="F29" s="15" t="s">
        <v>60</v>
      </c>
      <c r="G29" s="15" t="s">
        <v>60</v>
      </c>
      <c r="H29" s="13" t="s">
        <v>287</v>
      </c>
      <c r="I29" s="21" t="n">
        <f aca="false">IF(OR($D29="",$H29=""),"",IF(LEFT(SUBSTITUTE(SUBSTITUTE(SUBSTITUTE(SUBSTITUTE(SUBSTITUTE($D29,".",""),"-","")," ","")," ",""),CHAR(9),""),4)=LEFT(SUBSTITUTE(SUBSTITUTE(SUBSTITUTE(SUBSTITUTE(SUBSTITUTE($H29,".",""),"-","")," ","")," ",""),CHAR(9),""),4),1,0))</f>
        <v>0</v>
      </c>
      <c r="J29" s="21" t="n">
        <f aca="false">IF(OR($D29="",$H29=""),"",IF(LEFT(SUBSTITUTE(SUBSTITUTE(SUBSTITUTE(SUBSTITUTE(SUBSTITUTE($D29,".",""),"-","")," ","")," ",""),CHAR(9),""),6)=LEFT(SUBSTITUTE(SUBSTITUTE(SUBSTITUTE(SUBSTITUTE(SUBSTITUTE($H29,".",""),"-","")," ","")," ",""),CHAR(9),""),6),1,0))</f>
        <v>0</v>
      </c>
      <c r="K29" s="21" t="n">
        <f aca="false">IF(OR($D29="",$H29=""),"",IF(SUBSTITUTE(SUBSTITUTE(SUBSTITUTE(SUBSTITUTE(SUBSTITUTE($D29,".",""),"-","")," ","")," ",""),CHAR(9),"")=SUBSTITUTE(SUBSTITUTE(SUBSTITUTE(SUBSTITUTE(SUBSTITUTE($H29,".",""),"-","")," ","")," ",""),CHAR(9),""),1,0))</f>
        <v>0</v>
      </c>
      <c r="L29" s="13" t="s">
        <v>287</v>
      </c>
      <c r="M29" s="13" t="s">
        <v>288</v>
      </c>
      <c r="N29" s="13" t="s">
        <v>289</v>
      </c>
      <c r="O29" s="21" t="n">
        <f aca="false">IF(OR($D29="",$L29=""),"",IF(LEFT(SUBSTITUTE(SUBSTITUTE(SUBSTITUTE(SUBSTITUTE(SUBSTITUTE($D29,".",""),"-","")," ","")," ",""),CHAR(9),""),6)=LEFT(SUBSTITUTE(SUBSTITUTE(SUBSTITUTE(SUBSTITUTE(SUBSTITUTE($L29,".",""),"-","")," ","")," ",""),CHAR(9),""),6),1,0))</f>
        <v>0</v>
      </c>
      <c r="P29" s="21" t="n">
        <f aca="false">IF(OR($D29="",$L29=""),"",IF(OR(LEFT(SUBSTITUTE(SUBSTITUTE(SUBSTITUTE(SUBSTITUTE(SUBSTITUTE($D29,".",""),"-","")," ","")," ",""),CHAR(9),""),6)=LEFT(SUBSTITUTE(SUBSTITUTE(SUBSTITUTE(SUBSTITUTE(SUBSTITUTE($L29,".",""),"-","")," ","")," ",""),CHAR(9),""),6),LEFT(SUBSTITUTE(SUBSTITUTE(SUBSTITUTE(SUBSTITUTE(SUBSTITUTE($D29,".",""),"-","")," ","")," ",""),CHAR(9),""),6)=LEFT(SUBSTITUTE(SUBSTITUTE(SUBSTITUTE(SUBSTITUTE(SUBSTITUTE($M29,".",""),"-","")," ","")," ",""),CHAR(9),""),6),LEFT(SUBSTITUTE(SUBSTITUTE(SUBSTITUTE(SUBSTITUTE(SUBSTITUTE($D29,".",""),"-","")," ","")," ",""),CHAR(9),""),6)=LEFT(SUBSTITUTE(SUBSTITUTE(SUBSTITUTE(SUBSTITUTE(SUBSTITUTE($N29,".",""),"-","")," ","")," ",""),CHAR(9),""),6)),1,0))</f>
        <v>1</v>
      </c>
      <c r="Q29" s="14" t="s">
        <v>202</v>
      </c>
      <c r="R29" s="12" t="s">
        <v>290</v>
      </c>
    </row>
    <row r="30" customFormat="false" ht="39.75" hidden="false" customHeight="true" outlineLevel="0" collapsed="false">
      <c r="A30" s="21" t="n">
        <v>26</v>
      </c>
      <c r="B30" s="22" t="str">
        <f aca="false">IF(케이스목록!$B30="","",케이스목록!$B30)</f>
        <v>품목분류4과-947</v>
      </c>
      <c r="C30" s="23" t="str">
        <f aca="false">IF(케이스목록!$E30="","",케이스목록!$E30)</f>
        <v>크롬-몰리브데넘강 재질의 중공이 있는 특정 형상의 물품으로 기계식 선박 엔진(출력: 2,000kw 초과)의 캠샤프트(cam shaft)에 조립되어 샤프트가 회전하면 이를 직선운동으로 바꾸어 밸브에 동력을 전달하는 물품
- 동력전달 순서 : Camshaft → Fuel cam → Fuel &amp; exh’ gear → Fuel Pump → Fuel valve → 연료 분사</v>
      </c>
      <c r="D30" s="24" t="str">
        <f aca="false">IF(케이스목록!$D30="","",케이스목록!$D30)</f>
        <v>8483909000</v>
      </c>
      <c r="E30" s="22" t="str">
        <f aca="false">IF(케이스목록!$H30="","",케이스목록!$H30)</f>
        <v>O</v>
      </c>
      <c r="F30" s="15" t="s">
        <v>60</v>
      </c>
      <c r="G30" s="15" t="s">
        <v>60</v>
      </c>
      <c r="H30" s="13" t="s">
        <v>291</v>
      </c>
      <c r="I30" s="21" t="n">
        <f aca="false">IF(OR($D30="",$H30=""),"",IF(LEFT(SUBSTITUTE(SUBSTITUTE(SUBSTITUTE(SUBSTITUTE(SUBSTITUTE($D30,".",""),"-","")," ","")," ",""),CHAR(9),""),4)=LEFT(SUBSTITUTE(SUBSTITUTE(SUBSTITUTE(SUBSTITUTE(SUBSTITUTE($H30,".",""),"-","")," ","")," ",""),CHAR(9),""),4),1,0))</f>
        <v>0</v>
      </c>
      <c r="J30" s="21" t="n">
        <f aca="false">IF(OR($D30="",$H30=""),"",IF(LEFT(SUBSTITUTE(SUBSTITUTE(SUBSTITUTE(SUBSTITUTE(SUBSTITUTE($D30,".",""),"-","")," ","")," ",""),CHAR(9),""),6)=LEFT(SUBSTITUTE(SUBSTITUTE(SUBSTITUTE(SUBSTITUTE(SUBSTITUTE($H30,".",""),"-","")," ","")," ",""),CHAR(9),""),6),1,0))</f>
        <v>0</v>
      </c>
      <c r="K30" s="21" t="n">
        <f aca="false">IF(OR($D30="",$H30=""),"",IF(SUBSTITUTE(SUBSTITUTE(SUBSTITUTE(SUBSTITUTE(SUBSTITUTE($D30,".",""),"-","")," ","")," ",""),CHAR(9),"")=SUBSTITUTE(SUBSTITUTE(SUBSTITUTE(SUBSTITUTE(SUBSTITUTE($H30,".",""),"-","")," ","")," ",""),CHAR(9),""),1,0))</f>
        <v>0</v>
      </c>
      <c r="L30" s="13" t="s">
        <v>291</v>
      </c>
      <c r="M30" s="13" t="s">
        <v>292</v>
      </c>
      <c r="N30" s="13" t="s">
        <v>293</v>
      </c>
      <c r="O30" s="21" t="n">
        <f aca="false">IF(OR($D30="",$L30=""),"",IF(LEFT(SUBSTITUTE(SUBSTITUTE(SUBSTITUTE(SUBSTITUTE(SUBSTITUTE($D30,".",""),"-","")," ","")," ",""),CHAR(9),""),6)=LEFT(SUBSTITUTE(SUBSTITUTE(SUBSTITUTE(SUBSTITUTE(SUBSTITUTE($L30,".",""),"-","")," ","")," ",""),CHAR(9),""),6),1,0))</f>
        <v>0</v>
      </c>
      <c r="P30" s="21" t="n">
        <f aca="false">IF(OR($D30="",$L30=""),"",IF(OR(LEFT(SUBSTITUTE(SUBSTITUTE(SUBSTITUTE(SUBSTITUTE(SUBSTITUTE($D30,".",""),"-","")," ","")," ",""),CHAR(9),""),6)=LEFT(SUBSTITUTE(SUBSTITUTE(SUBSTITUTE(SUBSTITUTE(SUBSTITUTE($L30,".",""),"-","")," ","")," ",""),CHAR(9),""),6),LEFT(SUBSTITUTE(SUBSTITUTE(SUBSTITUTE(SUBSTITUTE(SUBSTITUTE($D30,".",""),"-","")," ","")," ",""),CHAR(9),""),6)=LEFT(SUBSTITUTE(SUBSTITUTE(SUBSTITUTE(SUBSTITUTE(SUBSTITUTE($M30,".",""),"-","")," ","")," ",""),CHAR(9),""),6),LEFT(SUBSTITUTE(SUBSTITUTE(SUBSTITUTE(SUBSTITUTE(SUBSTITUTE($D30,".",""),"-","")," ","")," ",""),CHAR(9),""),6)=LEFT(SUBSTITUTE(SUBSTITUTE(SUBSTITUTE(SUBSTITUTE(SUBSTITUTE($N30,".",""),"-","")," ","")," ",""),CHAR(9),""),6)),1,0))</f>
        <v>1</v>
      </c>
      <c r="Q30" s="14" t="s">
        <v>202</v>
      </c>
      <c r="R30" s="12" t="s">
        <v>294</v>
      </c>
    </row>
    <row r="31" customFormat="false" ht="39.75" hidden="false" customHeight="true" outlineLevel="0" collapsed="false">
      <c r="A31" s="21" t="n">
        <v>27</v>
      </c>
      <c r="B31" s="22" t="str">
        <f aca="false">IF(케이스목록!$B31="","",케이스목록!$B31)</f>
        <v>품목분류3과-1088</v>
      </c>
      <c r="C31" s="23" t="str">
        <f aca="false">IF(케이스목록!$E31="","",케이스목록!$E31)</f>
        <v>ㅇ 물품 개요
- 폴리에틸렌 스트립(시폭: 2.5㎜, 두께: 0.08㎜)을 위․경사로 직조한 평직물 양면에 폴리에틸렌 수지로 완전히 도포하여 만든 정사각형 시트로, 가장자리는 접어서 마감처리하고, 일정한 간격으로 금속제 아일릿(eyelet)을 부착한 것
- (제시 규격) 5m × 5m, 중량: 120g/m2, 두께: 약 0.23㎜
- (용도) 화물 보호용 덮개, 임시 가림막, 차양막, 캠핑용 방수 시트 등
- (제조공정) 원재료(PE) 칩 입고 → 원사 생산 → 직조 → 방수액 코팅 → 가장자리 압출 → 절단 → 아일렛 부착 → 완제품 포장</v>
      </c>
      <c r="D31" s="24" t="str">
        <f aca="false">IF(케이스목록!$D31="","",케이스목록!$D31)</f>
        <v>3926909000</v>
      </c>
      <c r="E31" s="22" t="str">
        <f aca="false">IF(케이스목록!$H31="","",케이스목록!$H31)</f>
        <v>O</v>
      </c>
      <c r="F31" s="15" t="s">
        <v>60</v>
      </c>
      <c r="G31" s="15" t="s">
        <v>60</v>
      </c>
      <c r="H31" s="13" t="s">
        <v>295</v>
      </c>
      <c r="I31" s="21" t="n">
        <f aca="false">IF(OR($D31="",$H31=""),"",IF(LEFT(SUBSTITUTE(SUBSTITUTE(SUBSTITUTE(SUBSTITUTE(SUBSTITUTE($D31,".",""),"-","")," ","")," ",""),CHAR(9),""),4)=LEFT(SUBSTITUTE(SUBSTITUTE(SUBSTITUTE(SUBSTITUTE(SUBSTITUTE($H31,".",""),"-","")," ","")," ",""),CHAR(9),""),4),1,0))</f>
        <v>0</v>
      </c>
      <c r="J31" s="21" t="n">
        <f aca="false">IF(OR($D31="",$H31=""),"",IF(LEFT(SUBSTITUTE(SUBSTITUTE(SUBSTITUTE(SUBSTITUTE(SUBSTITUTE($D31,".",""),"-","")," ","")," ",""),CHAR(9),""),6)=LEFT(SUBSTITUTE(SUBSTITUTE(SUBSTITUTE(SUBSTITUTE(SUBSTITUTE($H31,".",""),"-","")," ","")," ",""),CHAR(9),""),6),1,0))</f>
        <v>0</v>
      </c>
      <c r="K31" s="21" t="n">
        <f aca="false">IF(OR($D31="",$H31=""),"",IF(SUBSTITUTE(SUBSTITUTE(SUBSTITUTE(SUBSTITUTE(SUBSTITUTE($D31,".",""),"-","")," ","")," ",""),CHAR(9),"")=SUBSTITUTE(SUBSTITUTE(SUBSTITUTE(SUBSTITUTE(SUBSTITUTE($H31,".",""),"-","")," ","")," ",""),CHAR(9),""),1,0))</f>
        <v>0</v>
      </c>
      <c r="L31" s="13" t="s">
        <v>295</v>
      </c>
      <c r="M31" s="13" t="s">
        <v>220</v>
      </c>
      <c r="N31" s="13" t="s">
        <v>296</v>
      </c>
      <c r="O31" s="21" t="n">
        <f aca="false">IF(OR($D31="",$L31=""),"",IF(LEFT(SUBSTITUTE(SUBSTITUTE(SUBSTITUTE(SUBSTITUTE(SUBSTITUTE($D31,".",""),"-","")," ","")," ",""),CHAR(9),""),6)=LEFT(SUBSTITUTE(SUBSTITUTE(SUBSTITUTE(SUBSTITUTE(SUBSTITUTE($L31,".",""),"-","")," ","")," ",""),CHAR(9),""),6),1,0))</f>
        <v>0</v>
      </c>
      <c r="P31" s="21" t="n">
        <f aca="false">IF(OR($D31="",$L31=""),"",IF(OR(LEFT(SUBSTITUTE(SUBSTITUTE(SUBSTITUTE(SUBSTITUTE(SUBSTITUTE($D31,".",""),"-","")," ","")," ",""),CHAR(9),""),6)=LEFT(SUBSTITUTE(SUBSTITUTE(SUBSTITUTE(SUBSTITUTE(SUBSTITUTE($L31,".",""),"-","")," ","")," ",""),CHAR(9),""),6),LEFT(SUBSTITUTE(SUBSTITUTE(SUBSTITUTE(SUBSTITUTE(SUBSTITUTE($D31,".",""),"-","")," ","")," ",""),CHAR(9),""),6)=LEFT(SUBSTITUTE(SUBSTITUTE(SUBSTITUTE(SUBSTITUTE(SUBSTITUTE($M31,".",""),"-","")," ","")," ",""),CHAR(9),""),6),LEFT(SUBSTITUTE(SUBSTITUTE(SUBSTITUTE(SUBSTITUTE(SUBSTITUTE($D31,".",""),"-","")," ","")," ",""),CHAR(9),""),6)=LEFT(SUBSTITUTE(SUBSTITUTE(SUBSTITUTE(SUBSTITUTE(SUBSTITUTE($N31,".",""),"-","")," ","")," ",""),CHAR(9),""),6)),1,0))</f>
        <v>1</v>
      </c>
      <c r="Q31" s="14" t="s">
        <v>202</v>
      </c>
      <c r="R31" s="12" t="s">
        <v>297</v>
      </c>
    </row>
    <row r="32" customFormat="false" ht="39.75" hidden="false" customHeight="true" outlineLevel="0" collapsed="false">
      <c r="A32" s="21" t="n">
        <v>28</v>
      </c>
      <c r="B32" s="22" t="str">
        <f aca="false">IF(케이스목록!$B32="","",케이스목록!$B32)</f>
        <v>품목분류3과-200</v>
      </c>
      <c r="C32" s="23" t="str">
        <f aca="false">IF(케이스목록!$E32="","",케이스목록!$E32)</f>
        <v>ㅇ 물품 개요
- 플라스틱으로 피복된 전선 양 끝단에 접속용 커넥터가 부착되어 있는 물품 (길이: 0.6 m)
- 용도 : 지문인식기(4 Fingerprint)와 전산 기기(투표기*)를 연결하는 절연전선으로, 지문인식 신호와 지문 이미지 데이터 전송
* 투표기 : 중앙 서버에 저장되어 있는 선거인 명부의 지문 이미지를 조회하여 지문인식기의 이미지를 통해 투표권자임을 확인(사용자의 필요에 따라 프로그램 자유롭게 작성 불가)
- 구성 요소 : USB 플러그(전산 기기 연결부), PVC 케이블, GH1.25단자 커넥터(지문인식기 연결부)</v>
      </c>
      <c r="D32" s="24" t="str">
        <f aca="false">IF(케이스목록!$D32="","",케이스목록!$D32)</f>
        <v>8544422090</v>
      </c>
      <c r="E32" s="22" t="str">
        <f aca="false">IF(케이스목록!$H32="","",케이스목록!$H32)</f>
        <v>O</v>
      </c>
      <c r="F32" s="15" t="s">
        <v>60</v>
      </c>
      <c r="G32" s="15" t="s">
        <v>60</v>
      </c>
      <c r="H32" s="13" t="s">
        <v>298</v>
      </c>
      <c r="I32" s="21" t="n">
        <f aca="false">IF(OR($D32="",$H32=""),"",IF(LEFT(SUBSTITUTE(SUBSTITUTE(SUBSTITUTE(SUBSTITUTE(SUBSTITUTE($D32,".",""),"-","")," ","")," ",""),CHAR(9),""),4)=LEFT(SUBSTITUTE(SUBSTITUTE(SUBSTITUTE(SUBSTITUTE(SUBSTITUTE($H32,".",""),"-","")," ","")," ",""),CHAR(9),""),4),1,0))</f>
        <v>1</v>
      </c>
      <c r="J32" s="21" t="n">
        <f aca="false">IF(OR($D32="",$H32=""),"",IF(LEFT(SUBSTITUTE(SUBSTITUTE(SUBSTITUTE(SUBSTITUTE(SUBSTITUTE($D32,".",""),"-","")," ","")," ",""),CHAR(9),""),6)=LEFT(SUBSTITUTE(SUBSTITUTE(SUBSTITUTE(SUBSTITUTE(SUBSTITUTE($H32,".",""),"-","")," ","")," ",""),CHAR(9),""),6),1,0))</f>
        <v>1</v>
      </c>
      <c r="K32" s="21" t="n">
        <f aca="false">IF(OR($D32="",$H32=""),"",IF(SUBSTITUTE(SUBSTITUTE(SUBSTITUTE(SUBSTITUTE(SUBSTITUTE($D32,".",""),"-","")," ","")," ",""),CHAR(9),"")=SUBSTITUTE(SUBSTITUTE(SUBSTITUTE(SUBSTITUTE(SUBSTITUTE($H32,".",""),"-","")," ","")," ",""),CHAR(9),""),1,0))</f>
        <v>1</v>
      </c>
      <c r="L32" s="13" t="s">
        <v>298</v>
      </c>
      <c r="M32" s="13" t="s">
        <v>299</v>
      </c>
      <c r="N32" s="25" t="s">
        <v>300</v>
      </c>
      <c r="O32" s="21" t="n">
        <f aca="false">IF(OR($D32="",$L32=""),"",IF(LEFT(SUBSTITUTE(SUBSTITUTE(SUBSTITUTE(SUBSTITUTE(SUBSTITUTE($D32,".",""),"-","")," ","")," ",""),CHAR(9),""),6)=LEFT(SUBSTITUTE(SUBSTITUTE(SUBSTITUTE(SUBSTITUTE(SUBSTITUTE($L32,".",""),"-","")," ","")," ",""),CHAR(9),""),6),1,0))</f>
        <v>1</v>
      </c>
      <c r="P32" s="21" t="n">
        <f aca="false">IF(OR($D32="",$L32=""),"",IF(OR(LEFT(SUBSTITUTE(SUBSTITUTE(SUBSTITUTE(SUBSTITUTE(SUBSTITUTE($D32,".",""),"-","")," ","")," ",""),CHAR(9),""),6)=LEFT(SUBSTITUTE(SUBSTITUTE(SUBSTITUTE(SUBSTITUTE(SUBSTITUTE($L32,".",""),"-","")," ","")," ",""),CHAR(9),""),6),LEFT(SUBSTITUTE(SUBSTITUTE(SUBSTITUTE(SUBSTITUTE(SUBSTITUTE($D32,".",""),"-","")," ","")," ",""),CHAR(9),""),6)=LEFT(SUBSTITUTE(SUBSTITUTE(SUBSTITUTE(SUBSTITUTE(SUBSTITUTE($M32,".",""),"-","")," ","")," ",""),CHAR(9),""),6),LEFT(SUBSTITUTE(SUBSTITUTE(SUBSTITUTE(SUBSTITUTE(SUBSTITUTE($D32,".",""),"-","")," ","")," ",""),CHAR(9),""),6)=LEFT(SUBSTITUTE(SUBSTITUTE(SUBSTITUTE(SUBSTITUTE(SUBSTITUTE($N32,".",""),"-","")," ","")," ",""),CHAR(9),""),6)),1,0))</f>
        <v>1</v>
      </c>
      <c r="Q32" s="15"/>
      <c r="R32" s="16"/>
    </row>
    <row r="33" customFormat="false" ht="39.75" hidden="false" customHeight="true" outlineLevel="0" collapsed="false">
      <c r="A33" s="21" t="n">
        <v>29</v>
      </c>
      <c r="B33" s="22" t="str">
        <f aca="false">IF(케이스목록!$B33="","",케이스목록!$B33)</f>
        <v> 품목분류2과-267</v>
      </c>
      <c r="C33" s="23" t="str">
        <f aca="false">IF(케이스목록!$E33="","",케이스목록!$E33)</f>
        <v>덩어리상의 닭고기조각 22.2%와 토마토페이스트 11.7%, 캐슈페이스트 3.3%, 버터오일 3.3%, 유크림 3.3%, 설탕 2.5%, 토마토케첩 1.9%, 토마토퓨레 1.7%, 볶은양파 1.4%, 쿠민, 고수, 소두구, 계피, 후추, 정향, 회향, 육두구, 월계수, 파프리카, 생강, 마늘, 강황, 호로파잎, 전분, 소금, 밀가루, 정제수 등으로 조제한 적황색 페이스트를 파우치 팩에 소매포장한 것(내용량 180g)
- 용도 : 식용(끓는 물 또는 전자렌지에 데워서 밥과 함께 곁들여 먹음)
</v>
      </c>
      <c r="D33" s="24" t="s">
        <v>301</v>
      </c>
      <c r="E33" s="22" t="str">
        <f aca="false">IF(케이스목록!$H33="","",케이스목록!$H33)</f>
        <v>O</v>
      </c>
      <c r="F33" s="15" t="s">
        <v>60</v>
      </c>
      <c r="G33" s="15" t="s">
        <v>60</v>
      </c>
      <c r="H33" s="13" t="s">
        <v>302</v>
      </c>
      <c r="I33" s="21" t="n">
        <f aca="false">IF(OR($D33="",$H33=""),"",IF(LEFT(SUBSTITUTE(SUBSTITUTE(SUBSTITUTE(SUBSTITUTE(SUBSTITUTE($D33,".",""),"-","")," ","")," ",""),CHAR(9),""),4)=LEFT(SUBSTITUTE(SUBSTITUTE(SUBSTITUTE(SUBSTITUTE(SUBSTITUTE($H33,".",""),"-","")," ","")," ",""),CHAR(9),""),4),1,0))</f>
        <v>0</v>
      </c>
      <c r="J33" s="21" t="n">
        <f aca="false">IF(OR($D33="",$H33=""),"",IF(LEFT(SUBSTITUTE(SUBSTITUTE(SUBSTITUTE(SUBSTITUTE(SUBSTITUTE($D33,".",""),"-","")," ","")," ",""),CHAR(9),""),6)=LEFT(SUBSTITUTE(SUBSTITUTE(SUBSTITUTE(SUBSTITUTE(SUBSTITUTE($H33,".",""),"-","")," ","")," ",""),CHAR(9),""),6),1,0))</f>
        <v>0</v>
      </c>
      <c r="K33" s="21" t="n">
        <f aca="false">IF(OR($D33="",$H33=""),"",IF(SUBSTITUTE(SUBSTITUTE(SUBSTITUTE(SUBSTITUTE(SUBSTITUTE($D33,".",""),"-","")," ","")," ",""),CHAR(9),"")=SUBSTITUTE(SUBSTITUTE(SUBSTITUTE(SUBSTITUTE(SUBSTITUTE($H33,".",""),"-","")," ","")," ",""),CHAR(9),""),1,0))</f>
        <v>0</v>
      </c>
      <c r="L33" s="13" t="s">
        <v>302</v>
      </c>
      <c r="M33" s="13" t="s">
        <v>303</v>
      </c>
      <c r="N33" s="13" t="s">
        <v>304</v>
      </c>
      <c r="O33" s="21" t="n">
        <f aca="false">IF(OR($D33="",$L33=""),"",IF(LEFT(SUBSTITUTE(SUBSTITUTE(SUBSTITUTE(SUBSTITUTE(SUBSTITUTE($D33,".",""),"-","")," ","")," ",""),CHAR(9),""),6)=LEFT(SUBSTITUTE(SUBSTITUTE(SUBSTITUTE(SUBSTITUTE(SUBSTITUTE($L33,".",""),"-","")," ","")," ",""),CHAR(9),""),6),1,0))</f>
        <v>0</v>
      </c>
      <c r="P33" s="21" t="n">
        <f aca="false">IF(OR($D33="",$L33=""),"",IF(OR(LEFT(SUBSTITUTE(SUBSTITUTE(SUBSTITUTE(SUBSTITUTE(SUBSTITUTE($D33,".",""),"-","")," ","")," ",""),CHAR(9),""),6)=LEFT(SUBSTITUTE(SUBSTITUTE(SUBSTITUTE(SUBSTITUTE(SUBSTITUTE($L33,".",""),"-","")," ","")," ",""),CHAR(9),""),6),LEFT(SUBSTITUTE(SUBSTITUTE(SUBSTITUTE(SUBSTITUTE(SUBSTITUTE($D33,".",""),"-","")," ","")," ",""),CHAR(9),""),6)=LEFT(SUBSTITUTE(SUBSTITUTE(SUBSTITUTE(SUBSTITUTE(SUBSTITUTE($M33,".",""),"-","")," ","")," ",""),CHAR(9),""),6),LEFT(SUBSTITUTE(SUBSTITUTE(SUBSTITUTE(SUBSTITUTE(SUBSTITUTE($D33,".",""),"-","")," ","")," ",""),CHAR(9),""),6)=LEFT(SUBSTITUTE(SUBSTITUTE(SUBSTITUTE(SUBSTITUTE(SUBSTITUTE($N33,".",""),"-","")," ","")," ",""),CHAR(9),""),6)),1,0))</f>
        <v>0</v>
      </c>
      <c r="Q33" s="14" t="s">
        <v>207</v>
      </c>
      <c r="R33" s="12" t="s">
        <v>305</v>
      </c>
    </row>
    <row r="34" customFormat="false" ht="39.75" hidden="false" customHeight="true" outlineLevel="0" collapsed="false">
      <c r="A34" s="21" t="n">
        <v>30</v>
      </c>
      <c r="B34" s="22" t="str">
        <f aca="false">IF(케이스목록!$B34="","",케이스목록!$B34)</f>
        <v> 품목분류4과-3248</v>
      </c>
      <c r="C34" s="23" t="str">
        <f aca="false">IF(케이스목록!$E34="","",케이스목록!$E34)</f>
        <v>ㅇ 물품개요
- 면 직물로 만든 긴팔 상의로 실외 착용 아동용 의류
- 일정한 두께감으로 셔츠로 착용이 가능하며, 티셔츠 위에 재킷으로도 착용이 가능한 하이브리드 의류
- (형태) 전면 2개, 후면 2개에 총 4개의 세로 방향 패널이 있으며, 전면이 오픈되어 단추로 개폐되고 칼라가 있음, 밑단에 별도의 골이 진 허릿단이나 조이는 부분이 없으며 전면 가슴 부분 양쪽에 포켓이 있음, 등 부분에 영문 로고가 있음. 길이가 허리까지 오며 잠금방식이 왼편이 오른편 위로 여닫게 되어 있는 소년용 의류임
</v>
      </c>
      <c r="D34" s="24" t="str">
        <f aca="false">IF(케이스목록!$D34="","",케이스목록!$D34)</f>
        <v>6205200000</v>
      </c>
      <c r="E34" s="22" t="str">
        <f aca="false">IF(케이스목록!$H34="","",케이스목록!$H34)</f>
        <v>O</v>
      </c>
      <c r="F34" s="15" t="s">
        <v>60</v>
      </c>
      <c r="G34" s="15" t="s">
        <v>60</v>
      </c>
      <c r="H34" s="13" t="s">
        <v>306</v>
      </c>
      <c r="I34" s="21" t="n">
        <f aca="false">IF(OR($D34="",$H34=""),"",IF(LEFT(SUBSTITUTE(SUBSTITUTE(SUBSTITUTE(SUBSTITUTE(SUBSTITUTE($D34,".",""),"-","")," ","")," ",""),CHAR(9),""),4)=LEFT(SUBSTITUTE(SUBSTITUTE(SUBSTITUTE(SUBSTITUTE(SUBSTITUTE($H34,".",""),"-","")," ","")," ",""),CHAR(9),""),4),1,0))</f>
        <v>0</v>
      </c>
      <c r="J34" s="21" t="n">
        <f aca="false">IF(OR($D34="",$H34=""),"",IF(LEFT(SUBSTITUTE(SUBSTITUTE(SUBSTITUTE(SUBSTITUTE(SUBSTITUTE($D34,".",""),"-","")," ","")," ",""),CHAR(9),""),6)=LEFT(SUBSTITUTE(SUBSTITUTE(SUBSTITUTE(SUBSTITUTE(SUBSTITUTE($H34,".",""),"-","")," ","")," ",""),CHAR(9),""),6),1,0))</f>
        <v>0</v>
      </c>
      <c r="K34" s="21" t="n">
        <f aca="false">IF(OR($D34="",$H34=""),"",IF(SUBSTITUTE(SUBSTITUTE(SUBSTITUTE(SUBSTITUTE(SUBSTITUTE($D34,".",""),"-","")," ","")," ",""),CHAR(9),"")=SUBSTITUTE(SUBSTITUTE(SUBSTITUTE(SUBSTITUTE(SUBSTITUTE($H34,".",""),"-","")," ","")," ",""),CHAR(9),""),1,0))</f>
        <v>0</v>
      </c>
      <c r="L34" s="13" t="s">
        <v>306</v>
      </c>
      <c r="M34" s="13" t="s">
        <v>307</v>
      </c>
      <c r="N34" s="13" t="s">
        <v>308</v>
      </c>
      <c r="O34" s="21" t="n">
        <f aca="false">IF(OR($D34="",$L34=""),"",IF(LEFT(SUBSTITUTE(SUBSTITUTE(SUBSTITUTE(SUBSTITUTE(SUBSTITUTE($D34,".",""),"-","")," ","")," ",""),CHAR(9),""),6)=LEFT(SUBSTITUTE(SUBSTITUTE(SUBSTITUTE(SUBSTITUTE(SUBSTITUTE($L34,".",""),"-","")," ","")," ",""),CHAR(9),""),6),1,0))</f>
        <v>0</v>
      </c>
      <c r="P34" s="21" t="n">
        <f aca="false">IF(OR($D34="",$L34=""),"",IF(OR(LEFT(SUBSTITUTE(SUBSTITUTE(SUBSTITUTE(SUBSTITUTE(SUBSTITUTE($D34,".",""),"-","")," ","")," ",""),CHAR(9),""),6)=LEFT(SUBSTITUTE(SUBSTITUTE(SUBSTITUTE(SUBSTITUTE(SUBSTITUTE($L34,".",""),"-","")," ","")," ",""),CHAR(9),""),6),LEFT(SUBSTITUTE(SUBSTITUTE(SUBSTITUTE(SUBSTITUTE(SUBSTITUTE($D34,".",""),"-","")," ","")," ",""),CHAR(9),""),6)=LEFT(SUBSTITUTE(SUBSTITUTE(SUBSTITUTE(SUBSTITUTE(SUBSTITUTE($M34,".",""),"-","")," ","")," ",""),CHAR(9),""),6),LEFT(SUBSTITUTE(SUBSTITUTE(SUBSTITUTE(SUBSTITUTE(SUBSTITUTE($D34,".",""),"-","")," ","")," ",""),CHAR(9),""),6)=LEFT(SUBSTITUTE(SUBSTITUTE(SUBSTITUTE(SUBSTITUTE(SUBSTITUTE($N34,".",""),"-","")," ","")," ",""),CHAR(9),""),6)),1,0))</f>
        <v>1</v>
      </c>
      <c r="Q34" s="14" t="s">
        <v>202</v>
      </c>
      <c r="R34" s="16" t="s">
        <v>309</v>
      </c>
    </row>
    <row r="36" customFormat="false" ht="16.5" hidden="false" customHeight="true" outlineLevel="0" collapsed="false">
      <c r="A36" s="26" t="s">
        <v>310</v>
      </c>
    </row>
  </sheetData>
  <dataValidations count="3">
    <dataValidation allowBlank="true" errorStyle="stop" operator="between" showDropDown="false" showErrorMessage="false" showInputMessage="false" sqref="F5:F34" type="list">
      <formula1>"O,X"</formula1>
      <formula2>0</formula2>
    </dataValidation>
    <dataValidation allowBlank="true" errorStyle="stop" operator="between" showDropDown="false" showErrorMessage="false" showInputMessage="false" sqref="G5:G34" type="list">
      <formula1>"O,X"</formula1>
      <formula2>0</formula2>
    </dataValidation>
    <dataValidation allowBlank="true" errorStyle="stop" operator="between" showDropDown="false" showErrorMessage="false" showInputMessage="false" sqref="Q5:Q34" type="list">
      <formula1>"복합재질 주된재질 판단 실패,세트물품 통칙 적용 오류,용도/기능 오인,호 경합 판단 오류,한국 고유 세번(10자리) 오류,물품설명 정보 부족,존재하지 않는 코드 생성,기타"</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B3F00"/>
    <pageSetUpPr fitToPage="false"/>
  </sheetPr>
  <dimension ref="A1:N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16" activePane="bottomRight" state="frozen"/>
      <selection pane="topLeft" activeCell="A1" activeCellId="0" sqref="A1"/>
      <selection pane="topRight" activeCell="D1" activeCellId="0" sqref="D1"/>
      <selection pane="bottomLeft" activeCell="A16" activeCellId="0" sqref="A16"/>
      <selection pane="bottomRight" activeCell="I37" activeCellId="0" sqref="I37"/>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34"/>
    <col collapsed="false" customWidth="true" hidden="false" outlineLevel="0" max="4" min="4" style="1" width="13"/>
    <col collapsed="false" customWidth="true" hidden="false" outlineLevel="0" max="5" min="5" style="1" width="6"/>
    <col collapsed="false" customWidth="true" hidden="false" outlineLevel="0" max="6" min="6" style="1" width="11"/>
    <col collapsed="false" customWidth="true" hidden="false" outlineLevel="0" max="7" min="7" style="1" width="13"/>
    <col collapsed="false" customWidth="true" hidden="false" outlineLevel="0" max="10" min="8" style="1" width="7"/>
    <col collapsed="false" customWidth="true" hidden="false" outlineLevel="0" max="12" min="11" style="1" width="9"/>
    <col collapsed="false" customWidth="true" hidden="false" outlineLevel="0" max="13" min="13" style="1" width="42"/>
    <col collapsed="false" customWidth="true" hidden="false" outlineLevel="0" max="14" min="14" style="1" width="38"/>
  </cols>
  <sheetData>
    <row r="1" customFormat="false" ht="19.5" hidden="false" customHeight="true" outlineLevel="0" collapsed="false">
      <c r="A1" s="27" t="s">
        <v>311</v>
      </c>
    </row>
    <row r="2" customFormat="false" ht="15" hidden="false" customHeight="true" outlineLevel="0" collapsed="false">
      <c r="A2" s="3" t="s">
        <v>312</v>
      </c>
    </row>
    <row r="3" customFormat="false" ht="31.5" hidden="false" customHeight="true" outlineLevel="0" collapsed="false">
      <c r="A3" s="28" t="s">
        <v>44</v>
      </c>
      <c r="B3" s="28" t="s">
        <v>45</v>
      </c>
      <c r="C3" s="28" t="s">
        <v>313</v>
      </c>
      <c r="D3" s="28" t="s">
        <v>47</v>
      </c>
      <c r="E3" s="28" t="s">
        <v>52</v>
      </c>
      <c r="F3" s="28" t="s">
        <v>50</v>
      </c>
      <c r="G3" s="29" t="s">
        <v>186</v>
      </c>
      <c r="H3" s="29" t="s">
        <v>314</v>
      </c>
      <c r="I3" s="29" t="s">
        <v>315</v>
      </c>
      <c r="J3" s="29" t="s">
        <v>316</v>
      </c>
      <c r="K3" s="28" t="s">
        <v>317</v>
      </c>
      <c r="L3" s="28" t="s">
        <v>318</v>
      </c>
      <c r="M3" s="28" t="s">
        <v>319</v>
      </c>
      <c r="N3" s="28" t="s">
        <v>320</v>
      </c>
    </row>
    <row r="5" customFormat="false" ht="39.75" hidden="false" customHeight="true" outlineLevel="0" collapsed="false">
      <c r="A5" s="21" t="n">
        <v>1</v>
      </c>
      <c r="B5" s="22" t="str">
        <f aca="false">IF(케이스목록!$B5="","",케이스목록!$B5)</f>
        <v>품목분류2과-4285</v>
      </c>
      <c r="C5" s="23" t="str">
        <f aca="false">IF(케이스목록!$C5="","",케이스목록!$C5)</f>
        <v>친환경 액상 제설제 SDI 200</v>
      </c>
      <c r="D5" s="24" t="str">
        <f aca="false">IF(케이스목록!$D5="","",케이스목록!$D5)</f>
        <v>3820002000</v>
      </c>
      <c r="E5" s="22" t="str">
        <f aca="false">IF(케이스목록!$I5="","",케이스목록!$I5)</f>
        <v>X</v>
      </c>
      <c r="F5" s="22" t="str">
        <f aca="false">IF(케이스목록!$G5="","",케이스목록!$G5)</f>
        <v>품명명확</v>
      </c>
      <c r="G5" s="13" t="s">
        <v>56</v>
      </c>
      <c r="H5" s="21" t="n">
        <f aca="false">IF(OR($D5="",$G5=""),"",IF(LEFT(SUBSTITUTE(SUBSTITUTE(SUBSTITUTE(SUBSTITUTE(SUBSTITUTE($D5,".",""),"-","")," ","")," ",""),CHAR(9),""),4)=LEFT(SUBSTITUTE(SUBSTITUTE(SUBSTITUTE(SUBSTITUTE(SUBSTITUTE($G5,".",""),"-","")," ","")," ",""),CHAR(9),""),4),1,0))</f>
        <v>1</v>
      </c>
      <c r="I5" s="21" t="n">
        <f aca="false">IF(OR($D5="",$G5=""),"",IF(LEFT(SUBSTITUTE(SUBSTITUTE(SUBSTITUTE(SUBSTITUTE(SUBSTITUTE($D5,".",""),"-","")," ","")," ",""),CHAR(9),""),6)=LEFT(SUBSTITUTE(SUBSTITUTE(SUBSTITUTE(SUBSTITUTE(SUBSTITUTE($G5,".",""),"-","")," ","")," ",""),CHAR(9),""),6),1,0))</f>
        <v>1</v>
      </c>
      <c r="J5" s="21" t="n">
        <f aca="false">IF(OR($D5="",$G5=""),"",IF(SUBSTITUTE(SUBSTITUTE(SUBSTITUTE(SUBSTITUTE(SUBSTITUTE($D5,".",""),"-","")," ","")," ",""),CHAR(9),"")=SUBSTITUTE(SUBSTITUTE(SUBSTITUTE(SUBSTITUTE(SUBSTITUTE($G5,".",""),"-","")," ","")," ",""),CHAR(9),""),1,0))</f>
        <v>1</v>
      </c>
      <c r="K5" s="15" t="s">
        <v>60</v>
      </c>
      <c r="L5" s="15" t="n">
        <v>0</v>
      </c>
      <c r="M5" s="16" t="s">
        <v>321</v>
      </c>
      <c r="N5" s="16" t="s">
        <v>199</v>
      </c>
    </row>
    <row r="6" customFormat="false" ht="39.75" hidden="false" customHeight="true" outlineLevel="0" collapsed="false">
      <c r="A6" s="21" t="n">
        <v>2</v>
      </c>
      <c r="B6" s="22" t="str">
        <f aca="false">IF(케이스목록!$B6="","",케이스목록!$B6)</f>
        <v>품목분류2과-4144</v>
      </c>
      <c r="C6" s="23" t="str">
        <f aca="false">IF(케이스목록!$C6="","",케이스목록!$C6)</f>
        <v>Silica Coating Liquid; NS1033011 Grey Primer</v>
      </c>
      <c r="D6" s="24" t="str">
        <f aca="false">IF(케이스목록!$D6="","",케이스목록!$D6)</f>
        <v>3207209000</v>
      </c>
      <c r="E6" s="22" t="str">
        <f aca="false">IF(케이스목록!$I6="","",케이스목록!$I6)</f>
        <v>O</v>
      </c>
      <c r="F6" s="22" t="str">
        <f aca="false">IF(케이스목록!$G6="","",케이스목록!$G6)</f>
        <v>품번only</v>
      </c>
      <c r="G6" s="13" t="s">
        <v>201</v>
      </c>
      <c r="H6" s="21" t="n">
        <f aca="false">IF(OR($D6="",$G6=""),"",IF(LEFT(SUBSTITUTE(SUBSTITUTE(SUBSTITUTE(SUBSTITUTE(SUBSTITUTE($D6,".",""),"-","")," ","")," ",""),CHAR(9),""),4)=LEFT(SUBSTITUTE(SUBSTITUTE(SUBSTITUTE(SUBSTITUTE(SUBSTITUTE($G6,".",""),"-","")," ","")," ",""),CHAR(9),""),4),1,0))</f>
        <v>0</v>
      </c>
      <c r="I6" s="21" t="n">
        <f aca="false">IF(OR($D6="",$G6=""),"",IF(LEFT(SUBSTITUTE(SUBSTITUTE(SUBSTITUTE(SUBSTITUTE(SUBSTITUTE($D6,".",""),"-","")," ","")," ",""),CHAR(9),""),6)=LEFT(SUBSTITUTE(SUBSTITUTE(SUBSTITUTE(SUBSTITUTE(SUBSTITUTE($G6,".",""),"-","")," ","")," ",""),CHAR(9),""),6),1,0))</f>
        <v>0</v>
      </c>
      <c r="J6" s="21" t="n">
        <f aca="false">IF(OR($D6="",$G6=""),"",IF(SUBSTITUTE(SUBSTITUTE(SUBSTITUTE(SUBSTITUTE(SUBSTITUTE($D6,".",""),"-","")," ","")," ",""),CHAR(9),"")=SUBSTITUTE(SUBSTITUTE(SUBSTITUTE(SUBSTITUTE(SUBSTITUTE($G6,".",""),"-","")," ","")," ",""),CHAR(9),""),1,0))</f>
        <v>0</v>
      </c>
      <c r="K6" s="15" t="s">
        <v>67</v>
      </c>
      <c r="L6" s="15" t="n">
        <v>2</v>
      </c>
      <c r="M6" s="12" t="s">
        <v>322</v>
      </c>
      <c r="N6" s="16" t="s">
        <v>323</v>
      </c>
    </row>
    <row r="7" customFormat="false" ht="39.75" hidden="false" customHeight="true" outlineLevel="0" collapsed="false">
      <c r="A7" s="21" t="n">
        <v>3</v>
      </c>
      <c r="B7" s="22" t="str">
        <f aca="false">IF(케이스목록!$B7="","",케이스목록!$B7)</f>
        <v>품목분류2과-3140</v>
      </c>
      <c r="C7" s="23" t="str">
        <f aca="false">IF(케이스목록!$C7="","",케이스목록!$C7)</f>
        <v>(재확인 필요 — 기존 입력은 관세율표 호 문언)</v>
      </c>
      <c r="D7" s="24" t="str">
        <f aca="false">IF(케이스목록!$D7="","",케이스목록!$D7)</f>
        <v>0902100000</v>
      </c>
      <c r="E7" s="22" t="str">
        <f aca="false">IF(케이스목록!$I7="","",케이스목록!$I7)</f>
        <v>X</v>
      </c>
      <c r="F7" s="22" t="str">
        <f aca="false">IF(케이스목록!$G7="","",케이스목록!$G7)</f>
        <v>품명명확</v>
      </c>
      <c r="G7" s="13" t="s">
        <v>70</v>
      </c>
      <c r="H7" s="21" t="n">
        <f aca="false">IF(OR($D7="",$G7=""),"",IF(LEFT(SUBSTITUTE(SUBSTITUTE(SUBSTITUTE(SUBSTITUTE(SUBSTITUTE($D7,".",""),"-","")," ","")," ",""),CHAR(9),""),4)=LEFT(SUBSTITUTE(SUBSTITUTE(SUBSTITUTE(SUBSTITUTE(SUBSTITUTE($G7,".",""),"-","")," ","")," ",""),CHAR(9),""),4),1,0))</f>
        <v>1</v>
      </c>
      <c r="I7" s="21" t="n">
        <f aca="false">IF(OR($D7="",$G7=""),"",IF(LEFT(SUBSTITUTE(SUBSTITUTE(SUBSTITUTE(SUBSTITUTE(SUBSTITUTE($D7,".",""),"-","")," ","")," ",""),CHAR(9),""),6)=LEFT(SUBSTITUTE(SUBSTITUTE(SUBSTITUTE(SUBSTITUTE(SUBSTITUTE($G7,".",""),"-","")," ","")," ",""),CHAR(9),""),6),1,0))</f>
        <v>1</v>
      </c>
      <c r="J7" s="21" t="n">
        <f aca="false">IF(OR($D7="",$G7=""),"",IF(SUBSTITUTE(SUBSTITUTE(SUBSTITUTE(SUBSTITUTE(SUBSTITUTE($D7,".",""),"-","")," ","")," ",""),CHAR(9),"")=SUBSTITUTE(SUBSTITUTE(SUBSTITUTE(SUBSTITUTE(SUBSTITUTE($G7,".",""),"-","")," ","")," ",""),CHAR(9),""),1,0))</f>
        <v>1</v>
      </c>
      <c r="K7" s="15" t="s">
        <v>60</v>
      </c>
      <c r="L7" s="15" t="n">
        <v>0</v>
      </c>
      <c r="M7" s="16" t="s">
        <v>321</v>
      </c>
      <c r="N7" s="16" t="s">
        <v>324</v>
      </c>
    </row>
    <row r="8" customFormat="false" ht="39.75" hidden="false" customHeight="true" outlineLevel="0" collapsed="false">
      <c r="A8" s="21" t="n">
        <v>4</v>
      </c>
      <c r="B8" s="22" t="str">
        <f aca="false">IF(케이스목록!$B8="","",케이스목록!$B8)</f>
        <v>품목분류1과-3731</v>
      </c>
      <c r="C8" s="23" t="str">
        <f aca="false">IF(케이스목록!$C8="","",케이스목록!$C8)</f>
        <v>건담 카드게임 스타트덱 건담 어셈블 세트 Heroic Beginnings【ST01A】</v>
      </c>
      <c r="D8" s="24" t="str">
        <f aca="false">IF(케이스목록!$D8="","",케이스목록!$D8)</f>
        <v>9504400000</v>
      </c>
      <c r="E8" s="22" t="str">
        <f aca="false">IF(케이스목록!$I8="","",케이스목록!$I8)</f>
        <v>O</v>
      </c>
      <c r="F8" s="22" t="str">
        <f aca="false">IF(케이스목록!$G8="","",케이스목록!$G8)</f>
        <v>품명명확</v>
      </c>
      <c r="G8" s="13" t="s">
        <v>75</v>
      </c>
      <c r="H8" s="21" t="n">
        <f aca="false">IF(OR($D8="",$G8=""),"",IF(LEFT(SUBSTITUTE(SUBSTITUTE(SUBSTITUTE(SUBSTITUTE(SUBSTITUTE($D8,".",""),"-","")," ","")," ",""),CHAR(9),""),4)=LEFT(SUBSTITUTE(SUBSTITUTE(SUBSTITUTE(SUBSTITUTE(SUBSTITUTE($G8,".",""),"-","")," ","")," ",""),CHAR(9),""),4),1,0))</f>
        <v>1</v>
      </c>
      <c r="I8" s="21" t="n">
        <f aca="false">IF(OR($D8="",$G8=""),"",IF(LEFT(SUBSTITUTE(SUBSTITUTE(SUBSTITUTE(SUBSTITUTE(SUBSTITUTE($D8,".",""),"-","")," ","")," ",""),CHAR(9),""),6)=LEFT(SUBSTITUTE(SUBSTITUTE(SUBSTITUTE(SUBSTITUTE(SUBSTITUTE($G8,".",""),"-","")," ","")," ",""),CHAR(9),""),6),1,0))</f>
        <v>1</v>
      </c>
      <c r="J8" s="21" t="n">
        <f aca="false">IF(OR($D8="",$G8=""),"",IF(SUBSTITUTE(SUBSTITUTE(SUBSTITUTE(SUBSTITUTE(SUBSTITUTE($D8,".",""),"-","")," ","")," ",""),CHAR(9),"")=SUBSTITUTE(SUBSTITUTE(SUBSTITUTE(SUBSTITUTE(SUBSTITUTE($G8,".",""),"-","")," ","")," ",""),CHAR(9),""),1,0))</f>
        <v>1</v>
      </c>
      <c r="K8" s="15" t="s">
        <v>60</v>
      </c>
      <c r="L8" s="15" t="n">
        <v>0</v>
      </c>
      <c r="M8" s="16" t="s">
        <v>321</v>
      </c>
      <c r="N8" s="12" t="s">
        <v>325</v>
      </c>
    </row>
    <row r="9" customFormat="false" ht="39.75" hidden="false" customHeight="true" outlineLevel="0" collapsed="false">
      <c r="A9" s="21" t="n">
        <v>5</v>
      </c>
      <c r="B9" s="22" t="str">
        <f aca="false">IF(케이스목록!$B9="","",케이스목록!$B9)</f>
        <v>품목분류2과-31881</v>
      </c>
      <c r="C9" s="23" t="str">
        <f aca="false">IF(케이스목록!$C9="","",케이스목록!$C9)</f>
        <v>D-100 Wash Solution</v>
      </c>
      <c r="D9" s="24" t="str">
        <f aca="false">IF(케이스목록!$D9="","",케이스목록!$D9)</f>
        <v>2850003000</v>
      </c>
      <c r="E9" s="22" t="str">
        <f aca="false">IF(케이스목록!$I9="","",케이스목록!$I9)</f>
        <v>O</v>
      </c>
      <c r="F9" s="22" t="str">
        <f aca="false">IF(케이스목록!$G9="","",케이스목록!$G9)</f>
        <v>품번only</v>
      </c>
      <c r="G9" s="13" t="s">
        <v>213</v>
      </c>
      <c r="H9" s="21" t="n">
        <f aca="false">IF(OR($D9="",$G9=""),"",IF(LEFT(SUBSTITUTE(SUBSTITUTE(SUBSTITUTE(SUBSTITUTE(SUBSTITUTE($D9,".",""),"-","")," ","")," ",""),CHAR(9),""),4)=LEFT(SUBSTITUTE(SUBSTITUTE(SUBSTITUTE(SUBSTITUTE(SUBSTITUTE($G9,".",""),"-","")," ","")," ",""),CHAR(9),""),4),1,0))</f>
        <v>0</v>
      </c>
      <c r="I9" s="21" t="n">
        <f aca="false">IF(OR($D9="",$G9=""),"",IF(LEFT(SUBSTITUTE(SUBSTITUTE(SUBSTITUTE(SUBSTITUTE(SUBSTITUTE($D9,".",""),"-","")," ","")," ",""),CHAR(9),""),6)=LEFT(SUBSTITUTE(SUBSTITUTE(SUBSTITUTE(SUBSTITUTE(SUBSTITUTE($G9,".",""),"-","")," ","")," ",""),CHAR(9),""),6),1,0))</f>
        <v>0</v>
      </c>
      <c r="J9" s="21" t="n">
        <f aca="false">IF(OR($D9="",$G9=""),"",IF(SUBSTITUTE(SUBSTITUTE(SUBSTITUTE(SUBSTITUTE(SUBSTITUTE($D9,".",""),"-","")," ","")," ",""),CHAR(9),"")=SUBSTITUTE(SUBSTITUTE(SUBSTITUTE(SUBSTITUTE(SUBSTITUTE($G9,".",""),"-","")," ","")," ",""),CHAR(9),""),1,0))</f>
        <v>0</v>
      </c>
      <c r="K9" s="15" t="s">
        <v>60</v>
      </c>
      <c r="L9" s="15" t="n">
        <v>0</v>
      </c>
      <c r="M9" s="16" t="s">
        <v>321</v>
      </c>
      <c r="N9" s="12" t="s">
        <v>326</v>
      </c>
    </row>
    <row r="10" customFormat="false" ht="39.75" hidden="false" customHeight="true" outlineLevel="0" collapsed="false">
      <c r="A10" s="21" t="n">
        <v>6</v>
      </c>
      <c r="B10" s="22" t="str">
        <f aca="false">IF(케이스목록!$B10="","",케이스목록!$B10)</f>
        <v>품목분류3과-3310</v>
      </c>
      <c r="C10" s="23" t="str">
        <f aca="false">IF(케이스목록!$C10="","",케이스목록!$C10)</f>
        <v>고순도 제약용 호스 어셈블리 SXW</v>
      </c>
      <c r="D10" s="24" t="str">
        <f aca="false">IF(케이스목록!$D10="","",케이스목록!$D10)</f>
        <v>3917399000</v>
      </c>
      <c r="E10" s="22" t="str">
        <f aca="false">IF(케이스목록!$I10="","",케이스목록!$I10)</f>
        <v>O</v>
      </c>
      <c r="F10" s="22" t="str">
        <f aca="false">IF(케이스목록!$G10="","",케이스목록!$G10)</f>
        <v>품명명확</v>
      </c>
      <c r="G10" s="13" t="s">
        <v>327</v>
      </c>
      <c r="H10" s="21" t="n">
        <f aca="false">IF(OR($D10="",$G10=""),"",IF(LEFT(SUBSTITUTE(SUBSTITUTE(SUBSTITUTE(SUBSTITUTE(SUBSTITUTE($D10,".",""),"-","")," ","")," ",""),CHAR(9),""),4)=LEFT(SUBSTITUTE(SUBSTITUTE(SUBSTITUTE(SUBSTITUTE(SUBSTITUTE($G10,".",""),"-","")," ","")," ",""),CHAR(9),""),4),1,0))</f>
        <v>1</v>
      </c>
      <c r="I10" s="21" t="n">
        <f aca="false">IF(OR($D10="",$G10=""),"",IF(LEFT(SUBSTITUTE(SUBSTITUTE(SUBSTITUTE(SUBSTITUTE(SUBSTITUTE($D10,".",""),"-","")," ","")," ",""),CHAR(9),""),6)=LEFT(SUBSTITUTE(SUBSTITUTE(SUBSTITUTE(SUBSTITUTE(SUBSTITUTE($G10,".",""),"-","")," ","")," ",""),CHAR(9),""),6),1,0))</f>
        <v>1</v>
      </c>
      <c r="J10" s="21" t="n">
        <f aca="false">IF(OR($D10="",$G10=""),"",IF(SUBSTITUTE(SUBSTITUTE(SUBSTITUTE(SUBSTITUTE(SUBSTITUTE($D10,".",""),"-","")," ","")," ",""),CHAR(9),"")=SUBSTITUTE(SUBSTITUTE(SUBSTITUTE(SUBSTITUTE(SUBSTITUTE($G10,".",""),"-","")," ","")," ",""),CHAR(9),""),1,0))</f>
        <v>0</v>
      </c>
      <c r="K10" s="15" t="s">
        <v>60</v>
      </c>
      <c r="L10" s="15" t="n">
        <v>0</v>
      </c>
      <c r="M10" s="16" t="s">
        <v>321</v>
      </c>
      <c r="N10" s="16"/>
    </row>
    <row r="11" customFormat="false" ht="39.75" hidden="false" customHeight="true" outlineLevel="0" collapsed="false">
      <c r="A11" s="21" t="n">
        <v>7</v>
      </c>
      <c r="B11" s="22" t="str">
        <f aca="false">IF(케이스목록!$B11="","",케이스목록!$B11)</f>
        <v>품목분류3과-3040</v>
      </c>
      <c r="C11" s="23" t="str">
        <f aca="false">IF(케이스목록!$C11="","",케이스목록!$C11)</f>
        <v>CUSHION COMPACT 외용기, 내용기 ,메쉬링(+리드씰)</v>
      </c>
      <c r="D11" s="24" t="str">
        <f aca="false">IF(케이스목록!$D11="","",케이스목록!$D11)</f>
        <v>3923100000</v>
      </c>
      <c r="E11" s="22" t="str">
        <f aca="false">IF(케이스목록!$I11="","",케이스목록!$I11)</f>
        <v>O</v>
      </c>
      <c r="F11" s="22" t="str">
        <f aca="false">IF(케이스목록!$G11="","",케이스목록!$G11)</f>
        <v>품명명확</v>
      </c>
      <c r="G11" s="13" t="s">
        <v>328</v>
      </c>
      <c r="H11" s="21" t="n">
        <f aca="false">IF(OR($D11="",$G11=""),"",IF(LEFT(SUBSTITUTE(SUBSTITUTE(SUBSTITUTE(SUBSTITUTE(SUBSTITUTE($D11,".",""),"-","")," ","")," ",""),CHAR(9),""),4)=LEFT(SUBSTITUTE(SUBSTITUTE(SUBSTITUTE(SUBSTITUTE(SUBSTITUTE($G11,".",""),"-","")," ","")," ",""),CHAR(9),""),4),1,0))</f>
        <v>1</v>
      </c>
      <c r="I11" s="21" t="n">
        <f aca="false">IF(OR($D11="",$G11=""),"",IF(LEFT(SUBSTITUTE(SUBSTITUTE(SUBSTITUTE(SUBSTITUTE(SUBSTITUTE($D11,".",""),"-","")," ","")," ",""),CHAR(9),""),6)=LEFT(SUBSTITUTE(SUBSTITUTE(SUBSTITUTE(SUBSTITUTE(SUBSTITUTE($G11,".",""),"-","")," ","")," ",""),CHAR(9),""),6),1,0))</f>
        <v>0</v>
      </c>
      <c r="J11" s="21" t="n">
        <f aca="false">IF(OR($D11="",$G11=""),"",IF(SUBSTITUTE(SUBSTITUTE(SUBSTITUTE(SUBSTITUTE(SUBSTITUTE($D11,".",""),"-","")," ","")," ",""),CHAR(9),"")=SUBSTITUTE(SUBSTITUTE(SUBSTITUTE(SUBSTITUTE(SUBSTITUTE($G11,".",""),"-","")," ","")," ",""),CHAR(9),""),1,0))</f>
        <v>0</v>
      </c>
      <c r="K11" s="15" t="s">
        <v>60</v>
      </c>
      <c r="L11" s="15" t="n">
        <v>0</v>
      </c>
      <c r="M11" s="16" t="s">
        <v>321</v>
      </c>
      <c r="N11" s="16"/>
    </row>
    <row r="12" customFormat="false" ht="39.75" hidden="false" customHeight="true" outlineLevel="0" collapsed="false">
      <c r="A12" s="21" t="n">
        <v>8</v>
      </c>
      <c r="B12" s="22" t="str">
        <f aca="false">IF(케이스목록!$B12="","",케이스목록!$B12)</f>
        <v>품목분류4과-1253</v>
      </c>
      <c r="C12" s="23" t="str">
        <f aca="false">IF(케이스목록!$C12="","",케이스목록!$C12)</f>
        <v>MIRAMER PU5000; MIRAMER PU5000; 200KG DRUM</v>
      </c>
      <c r="D12" s="24" t="str">
        <f aca="false">IF(케이스목록!$D12="","",케이스목록!$D12)</f>
        <v>3909500000</v>
      </c>
      <c r="E12" s="22" t="str">
        <f aca="false">IF(케이스목록!$I12="","",케이스목록!$I12)</f>
        <v>O</v>
      </c>
      <c r="F12" s="22" t="str">
        <f aca="false">IF(케이스목록!$G12="","",케이스목록!$G12)</f>
        <v>품번only</v>
      </c>
      <c r="G12" s="13" t="s">
        <v>329</v>
      </c>
      <c r="H12" s="21" t="n">
        <f aca="false">IF(OR($D12="",$G12=""),"",IF(LEFT(SUBSTITUTE(SUBSTITUTE(SUBSTITUTE(SUBSTITUTE(SUBSTITUTE($D12,".",""),"-","")," ","")," ",""),CHAR(9),""),4)=LEFT(SUBSTITUTE(SUBSTITUTE(SUBSTITUTE(SUBSTITUTE(SUBSTITUTE($G12,".",""),"-","")," ","")," ",""),CHAR(9),""),4),1,0))</f>
        <v>1</v>
      </c>
      <c r="I12" s="21" t="n">
        <f aca="false">IF(OR($D12="",$G12=""),"",IF(LEFT(SUBSTITUTE(SUBSTITUTE(SUBSTITUTE(SUBSTITUTE(SUBSTITUTE($D12,".",""),"-","")," ","")," ",""),CHAR(9),""),6)=LEFT(SUBSTITUTE(SUBSTITUTE(SUBSTITUTE(SUBSTITUTE(SUBSTITUTE($G12,".",""),"-","")," ","")," ",""),CHAR(9),""),6),1,0))</f>
        <v>1</v>
      </c>
      <c r="J12" s="21" t="n">
        <f aca="false">IF(OR($D12="",$G12=""),"",IF(SUBSTITUTE(SUBSTITUTE(SUBSTITUTE(SUBSTITUTE(SUBSTITUTE($D12,".",""),"-","")," ","")," ",""),CHAR(9),"")=SUBSTITUTE(SUBSTITUTE(SUBSTITUTE(SUBSTITUTE(SUBSTITUTE($G12,".",""),"-","")," ","")," ",""),CHAR(9),""),1,0))</f>
        <v>1</v>
      </c>
      <c r="K12" s="15" t="s">
        <v>60</v>
      </c>
      <c r="L12" s="15" t="n">
        <v>0</v>
      </c>
      <c r="M12" s="16" t="s">
        <v>321</v>
      </c>
      <c r="N12" s="16"/>
    </row>
    <row r="13" customFormat="false" ht="39.75" hidden="false" customHeight="true" outlineLevel="0" collapsed="false">
      <c r="A13" s="21" t="n">
        <v>9</v>
      </c>
      <c r="B13" s="22" t="str">
        <f aca="false">IF(케이스목록!$B13="","",케이스목록!$B13)</f>
        <v>품목분류4과-1933</v>
      </c>
      <c r="C13" s="23" t="str">
        <f aca="false">IF(케이스목록!$C13="","",케이스목록!$C13)</f>
        <v>LOCAL FIRE FIGHTING SYSTEM; WATER MIST SYSTEM;MIST</v>
      </c>
      <c r="D13" s="24" t="str">
        <f aca="false">IF(케이스목록!$D13="","",케이스목록!$D13)</f>
        <v>8424899000</v>
      </c>
      <c r="E13" s="22" t="str">
        <f aca="false">IF(케이스목록!$I13="","",케이스목록!$I13)</f>
        <v>O</v>
      </c>
      <c r="F13" s="22" t="str">
        <f aca="false">IF(케이스목록!$G13="","",케이스목록!$G13)</f>
        <v>품명명확</v>
      </c>
      <c r="G13" s="13" t="s">
        <v>225</v>
      </c>
      <c r="H13" s="21" t="n">
        <f aca="false">IF(OR($D13="",$G13=""),"",IF(LEFT(SUBSTITUTE(SUBSTITUTE(SUBSTITUTE(SUBSTITUTE(SUBSTITUTE($D13,".",""),"-","")," ","")," ",""),CHAR(9),""),4)=LEFT(SUBSTITUTE(SUBSTITUTE(SUBSTITUTE(SUBSTITUTE(SUBSTITUTE($G13,".",""),"-","")," ","")," ",""),CHAR(9),""),4),1,0))</f>
        <v>1</v>
      </c>
      <c r="I13" s="21" t="n">
        <f aca="false">IF(OR($D13="",$G13=""),"",IF(LEFT(SUBSTITUTE(SUBSTITUTE(SUBSTITUTE(SUBSTITUTE(SUBSTITUTE($D13,".",""),"-","")," ","")," ",""),CHAR(9),""),6)=LEFT(SUBSTITUTE(SUBSTITUTE(SUBSTITUTE(SUBSTITUTE(SUBSTITUTE($G13,".",""),"-","")," ","")," ",""),CHAR(9),""),6),1,0))</f>
        <v>1</v>
      </c>
      <c r="J13" s="21" t="n">
        <f aca="false">IF(OR($D13="",$G13=""),"",IF(SUBSTITUTE(SUBSTITUTE(SUBSTITUTE(SUBSTITUTE(SUBSTITUTE($D13,".",""),"-","")," ","")," ",""),CHAR(9),"")=SUBSTITUTE(SUBSTITUTE(SUBSTITUTE(SUBSTITUTE(SUBSTITUTE($G13,".",""),"-","")," ","")," ",""),CHAR(9),""),1,0))</f>
        <v>1</v>
      </c>
      <c r="K13" s="15" t="s">
        <v>60</v>
      </c>
      <c r="L13" s="15" t="n">
        <v>0</v>
      </c>
      <c r="M13" s="16" t="s">
        <v>321</v>
      </c>
      <c r="N13" s="16"/>
    </row>
    <row r="14" customFormat="false" ht="39.75" hidden="false" customHeight="true" outlineLevel="0" collapsed="false">
      <c r="A14" s="21" t="n">
        <v>10</v>
      </c>
      <c r="B14" s="22" t="str">
        <f aca="false">IF(케이스목록!$B14="","",케이스목록!$B14)</f>
        <v>품목분류3과-3871</v>
      </c>
      <c r="C14" s="23" t="str">
        <f aca="false">IF(케이스목록!$C14="","",케이스목록!$C14)</f>
        <v>PC WITH SOFT; 6V9Y0048; FC-E23W-G26CV9-SSDMODE;</v>
      </c>
      <c r="D14" s="24" t="str">
        <f aca="false">IF(케이스목록!$D14="","",케이스목록!$D14)</f>
        <v>8471501000</v>
      </c>
      <c r="E14" s="22" t="str">
        <f aca="false">IF(케이스목록!$I14="","",케이스목록!$I14)</f>
        <v>O</v>
      </c>
      <c r="F14" s="22" t="str">
        <f aca="false">IF(케이스목록!$G14="","",케이스목록!$G14)</f>
        <v>품명명확</v>
      </c>
      <c r="G14" s="13" t="s">
        <v>330</v>
      </c>
      <c r="H14" s="21" t="n">
        <f aca="false">IF(OR($D14="",$G14=""),"",IF(LEFT(SUBSTITUTE(SUBSTITUTE(SUBSTITUTE(SUBSTITUTE(SUBSTITUTE($D14,".",""),"-","")," ","")," ",""),CHAR(9),""),4)=LEFT(SUBSTITUTE(SUBSTITUTE(SUBSTITUTE(SUBSTITUTE(SUBSTITUTE($G14,".",""),"-","")," ","")," ",""),CHAR(9),""),4),1,0))</f>
        <v>1</v>
      </c>
      <c r="I14" s="21" t="n">
        <f aca="false">IF(OR($D14="",$G14=""),"",IF(LEFT(SUBSTITUTE(SUBSTITUTE(SUBSTITUTE(SUBSTITUTE(SUBSTITUTE($D14,".",""),"-","")," ","")," ",""),CHAR(9),""),6)=LEFT(SUBSTITUTE(SUBSTITUTE(SUBSTITUTE(SUBSTITUTE(SUBSTITUTE($G14,".",""),"-","")," ","")," ",""),CHAR(9),""),6),1,0))</f>
        <v>1</v>
      </c>
      <c r="J14" s="21" t="n">
        <f aca="false">IF(OR($D14="",$G14=""),"",IF(SUBSTITUTE(SUBSTITUTE(SUBSTITUTE(SUBSTITUTE(SUBSTITUTE($D14,".",""),"-","")," ","")," ",""),CHAR(9),"")=SUBSTITUTE(SUBSTITUTE(SUBSTITUTE(SUBSTITUTE(SUBSTITUTE($G14,".",""),"-","")," ","")," ",""),CHAR(9),""),1,0))</f>
        <v>1</v>
      </c>
      <c r="K14" s="15" t="s">
        <v>60</v>
      </c>
      <c r="L14" s="15" t="n">
        <v>0</v>
      </c>
      <c r="M14" s="16" t="s">
        <v>321</v>
      </c>
      <c r="N14" s="16"/>
    </row>
    <row r="15" customFormat="false" ht="39.75" hidden="false" customHeight="true" outlineLevel="0" collapsed="false">
      <c r="A15" s="21" t="n">
        <v>11</v>
      </c>
      <c r="B15" s="22" t="str">
        <f aca="false">IF(케이스목록!$B15="","",케이스목록!$B15)</f>
        <v>품목분류2과-1654</v>
      </c>
      <c r="C15" s="23" t="str">
        <f aca="false">IF(케이스목록!$C15="","",케이스목록!$C15)</f>
        <v>KP-SOL-90</v>
      </c>
      <c r="D15" s="24" t="str">
        <f aca="false">IF(케이스목록!$D15="","",케이스목록!$D15)</f>
        <v>2710129000</v>
      </c>
      <c r="E15" s="22" t="str">
        <f aca="false">IF(케이스목록!$I15="","",케이스목록!$I15)</f>
        <v>O</v>
      </c>
      <c r="F15" s="22" t="str">
        <f aca="false">IF(케이스목록!$G15="","",케이스목록!$G15)</f>
        <v>품번only</v>
      </c>
      <c r="G15" s="13" t="s">
        <v>331</v>
      </c>
      <c r="H15" s="21" t="n">
        <f aca="false">IF(OR($D15="",$G15=""),"",IF(LEFT(SUBSTITUTE(SUBSTITUTE(SUBSTITUTE(SUBSTITUTE(SUBSTITUTE($D15,".",""),"-","")," ","")," ",""),CHAR(9),""),4)=LEFT(SUBSTITUTE(SUBSTITUTE(SUBSTITUTE(SUBSTITUTE(SUBSTITUTE($G15,".",""),"-","")," ","")," ",""),CHAR(9),""),4),1,0))</f>
        <v>0</v>
      </c>
      <c r="I15" s="21" t="n">
        <f aca="false">IF(OR($D15="",$G15=""),"",IF(LEFT(SUBSTITUTE(SUBSTITUTE(SUBSTITUTE(SUBSTITUTE(SUBSTITUTE($D15,".",""),"-","")," ","")," ",""),CHAR(9),""),6)=LEFT(SUBSTITUTE(SUBSTITUTE(SUBSTITUTE(SUBSTITUTE(SUBSTITUTE($G15,".",""),"-","")," ","")," ",""),CHAR(9),""),6),1,0))</f>
        <v>0</v>
      </c>
      <c r="J15" s="21" t="n">
        <f aca="false">IF(OR($D15="",$G15=""),"",IF(SUBSTITUTE(SUBSTITUTE(SUBSTITUTE(SUBSTITUTE(SUBSTITUTE($D15,".",""),"-","")," ","")," ",""),CHAR(9),"")=SUBSTITUTE(SUBSTITUTE(SUBSTITUTE(SUBSTITUTE(SUBSTITUTE($G15,".",""),"-","")," ","")," ",""),CHAR(9),""),1,0))</f>
        <v>0</v>
      </c>
      <c r="K15" s="15" t="s">
        <v>60</v>
      </c>
      <c r="L15" s="15" t="n">
        <v>0</v>
      </c>
      <c r="M15" s="16" t="s">
        <v>321</v>
      </c>
      <c r="N15" s="16"/>
    </row>
    <row r="16" customFormat="false" ht="39.75" hidden="false" customHeight="true" outlineLevel="0" collapsed="false">
      <c r="A16" s="21" t="n">
        <v>12</v>
      </c>
      <c r="B16" s="22" t="str">
        <f aca="false">IF(케이스목록!$B16="","",케이스목록!$B16)</f>
        <v>품목분류2과-1460</v>
      </c>
      <c r="C16" s="23" t="str">
        <f aca="false">IF(케이스목록!$C16="","",케이스목록!$C16)</f>
        <v>FROZEN GINGER WITH SUGAR</v>
      </c>
      <c r="D16" s="24" t="str">
        <f aca="false">IF(케이스목록!$D16="","",케이스목록!$D16)</f>
        <v>2008999000</v>
      </c>
      <c r="E16" s="22" t="str">
        <f aca="false">IF(케이스목록!$I16="","",케이스목록!$I16)</f>
        <v>O</v>
      </c>
      <c r="F16" s="22" t="str">
        <f aca="false">IF(케이스목록!$G16="","",케이스목록!$G16)</f>
        <v>품명명확</v>
      </c>
      <c r="G16" s="13" t="s">
        <v>332</v>
      </c>
      <c r="H16" s="21" t="n">
        <f aca="false">IF(OR($D16="",$G16=""),"",IF(LEFT(SUBSTITUTE(SUBSTITUTE(SUBSTITUTE(SUBSTITUTE(SUBSTITUTE($D16,".",""),"-","")," ","")," ",""),CHAR(9),""),4)=LEFT(SUBSTITUTE(SUBSTITUTE(SUBSTITUTE(SUBSTITUTE(SUBSTITUTE($G16,".",""),"-","")," ","")," ",""),CHAR(9),""),4),1,0))</f>
        <v>1</v>
      </c>
      <c r="I16" s="21" t="n">
        <f aca="false">IF(OR($D16="",$G16=""),"",IF(LEFT(SUBSTITUTE(SUBSTITUTE(SUBSTITUTE(SUBSTITUTE(SUBSTITUTE($D16,".",""),"-","")," ","")," ",""),CHAR(9),""),6)=LEFT(SUBSTITUTE(SUBSTITUTE(SUBSTITUTE(SUBSTITUTE(SUBSTITUTE($G16,".",""),"-","")," ","")," ",""),CHAR(9),""),6),1,0))</f>
        <v>1</v>
      </c>
      <c r="J16" s="21" t="n">
        <f aca="false">IF(OR($D16="",$G16=""),"",IF(SUBSTITUTE(SUBSTITUTE(SUBSTITUTE(SUBSTITUTE(SUBSTITUTE($D16,".",""),"-","")," ","")," ",""),CHAR(9),"")=SUBSTITUTE(SUBSTITUTE(SUBSTITUTE(SUBSTITUTE(SUBSTITUTE($G16,".",""),"-","")," ","")," ",""),CHAR(9),""),1,0))</f>
        <v>0</v>
      </c>
      <c r="K16" s="15" t="s">
        <v>60</v>
      </c>
      <c r="L16" s="15" t="n">
        <v>0</v>
      </c>
      <c r="M16" s="16" t="s">
        <v>321</v>
      </c>
      <c r="N16" s="16"/>
    </row>
    <row r="17" customFormat="false" ht="39.75" hidden="false" customHeight="true" outlineLevel="0" collapsed="false">
      <c r="A17" s="21" t="n">
        <v>13</v>
      </c>
      <c r="B17" s="22" t="str">
        <f aca="false">IF(케이스목록!$B17="","",케이스목록!$B17)</f>
        <v>품목분류4과-945</v>
      </c>
      <c r="C17" s="23" t="str">
        <f aca="false">IF(케이스목록!$C17="","",케이스목록!$C17)</f>
        <v>COOLOA; RH-CD02W</v>
      </c>
      <c r="D17" s="24" t="str">
        <f aca="false">IF(케이스목록!$D17="","",케이스목록!$D17)</f>
        <v>8424209000</v>
      </c>
      <c r="E17" s="22" t="str">
        <f aca="false">IF(케이스목록!$I17="","",케이스목록!$I17)</f>
        <v>O</v>
      </c>
      <c r="F17" s="22" t="str">
        <f aca="false">IF(케이스목록!$G17="","",케이스목록!$G17)</f>
        <v>품번only</v>
      </c>
      <c r="G17" s="13" t="s">
        <v>333</v>
      </c>
      <c r="H17" s="21" t="n">
        <f aca="false">IF(OR($D17="",$G17=""),"",IF(LEFT(SUBSTITUTE(SUBSTITUTE(SUBSTITUTE(SUBSTITUTE(SUBSTITUTE($D17,".",""),"-","")," ","")," ",""),CHAR(9),""),4)=LEFT(SUBSTITUTE(SUBSTITUTE(SUBSTITUTE(SUBSTITUTE(SUBSTITUTE($G17,".",""),"-","")," ","")," ",""),CHAR(9),""),4),1,0))</f>
        <v>0</v>
      </c>
      <c r="I17" s="21" t="n">
        <f aca="false">IF(OR($D17="",$G17=""),"",IF(LEFT(SUBSTITUTE(SUBSTITUTE(SUBSTITUTE(SUBSTITUTE(SUBSTITUTE($D17,".",""),"-","")," ","")," ",""),CHAR(9),""),6)=LEFT(SUBSTITUTE(SUBSTITUTE(SUBSTITUTE(SUBSTITUTE(SUBSTITUTE($G17,".",""),"-","")," ","")," ",""),CHAR(9),""),6),1,0))</f>
        <v>0</v>
      </c>
      <c r="J17" s="21" t="n">
        <f aca="false">IF(OR($D17="",$G17=""),"",IF(SUBSTITUTE(SUBSTITUTE(SUBSTITUTE(SUBSTITUTE(SUBSTITUTE($D17,".",""),"-","")," ","")," ",""),CHAR(9),"")=SUBSTITUTE(SUBSTITUTE(SUBSTITUTE(SUBSTITUTE(SUBSTITUTE($G17,".",""),"-","")," ","")," ",""),CHAR(9),""),1,0))</f>
        <v>0</v>
      </c>
      <c r="K17" s="15" t="s">
        <v>60</v>
      </c>
      <c r="L17" s="15" t="n">
        <v>0</v>
      </c>
      <c r="M17" s="16" t="s">
        <v>321</v>
      </c>
      <c r="N17" s="16"/>
    </row>
    <row r="18" customFormat="false" ht="39.75" hidden="false" customHeight="true" outlineLevel="0" collapsed="false">
      <c r="A18" s="21" t="n">
        <v>14</v>
      </c>
      <c r="B18" s="22" t="str">
        <f aca="false">IF(케이스목록!$B18="","",케이스목록!$B18)</f>
        <v>품목분류1과-876</v>
      </c>
      <c r="C18" s="23" t="str">
        <f aca="false">IF(케이스목록!$C18="","",케이스목록!$C18)</f>
        <v>16mm F6.5 autofocus VIS+NIR lens; 820-20194-005</v>
      </c>
      <c r="D18" s="24" t="str">
        <f aca="false">IF(케이스목록!$D18="","",케이스목록!$D18)</f>
        <v>9002119090</v>
      </c>
      <c r="E18" s="22" t="str">
        <f aca="false">IF(케이스목록!$I18="","",케이스목록!$I18)</f>
        <v>O</v>
      </c>
      <c r="F18" s="22" t="str">
        <f aca="false">IF(케이스목록!$G18="","",케이스목록!$G18)</f>
        <v>품명명확</v>
      </c>
      <c r="G18" s="13" t="s">
        <v>243</v>
      </c>
      <c r="H18" s="21" t="n">
        <f aca="false">IF(OR($D18="",$G18=""),"",IF(LEFT(SUBSTITUTE(SUBSTITUTE(SUBSTITUTE(SUBSTITUTE(SUBSTITUTE($D18,".",""),"-","")," ","")," ",""),CHAR(9),""),4)=LEFT(SUBSTITUTE(SUBSTITUTE(SUBSTITUTE(SUBSTITUTE(SUBSTITUTE($G18,".",""),"-","")," ","")," ",""),CHAR(9),""),4),1,0))</f>
        <v>1</v>
      </c>
      <c r="I18" s="21" t="n">
        <f aca="false">IF(OR($D18="",$G18=""),"",IF(LEFT(SUBSTITUTE(SUBSTITUTE(SUBSTITUTE(SUBSTITUTE(SUBSTITUTE($D18,".",""),"-","")," ","")," ",""),CHAR(9),""),6)=LEFT(SUBSTITUTE(SUBSTITUTE(SUBSTITUTE(SUBSTITUTE(SUBSTITUTE($G18,".",""),"-","")," ","")," ",""),CHAR(9),""),6),1,0))</f>
        <v>0</v>
      </c>
      <c r="J18" s="21" t="n">
        <f aca="false">IF(OR($D18="",$G18=""),"",IF(SUBSTITUTE(SUBSTITUTE(SUBSTITUTE(SUBSTITUTE(SUBSTITUTE($D18,".",""),"-","")," ","")," ",""),CHAR(9),"")=SUBSTITUTE(SUBSTITUTE(SUBSTITUTE(SUBSTITUTE(SUBSTITUTE($G18,".",""),"-","")," ","")," ",""),CHAR(9),""),1,0))</f>
        <v>0</v>
      </c>
      <c r="K18" s="15" t="s">
        <v>60</v>
      </c>
      <c r="L18" s="15" t="n">
        <v>0</v>
      </c>
      <c r="M18" s="16" t="s">
        <v>321</v>
      </c>
      <c r="N18" s="16"/>
    </row>
    <row r="19" customFormat="false" ht="39.75" hidden="false" customHeight="true" outlineLevel="0" collapsed="false">
      <c r="A19" s="21" t="n">
        <v>15</v>
      </c>
      <c r="B19" s="22" t="str">
        <f aca="false">IF(케이스목록!$B19="","",케이스목록!$B19)</f>
        <v>품목분류2과-1011</v>
      </c>
      <c r="C19" s="23" t="str">
        <f aca="false">IF(케이스목록!$C19="","",케이스목록!$C19)</f>
        <v>ㅇ 재우스오라쿠고에이취플라스타(살리실산); OLAKUKO - H;</v>
      </c>
      <c r="D19" s="24" t="str">
        <f aca="false">IF(케이스목록!$D19="","",케이스목록!$D19)</f>
        <v>3004909900</v>
      </c>
      <c r="E19" s="22" t="str">
        <f aca="false">IF(케이스목록!$I19="","",케이스목록!$I19)</f>
        <v>O</v>
      </c>
      <c r="F19" s="22" t="str">
        <f aca="false">IF(케이스목록!$G19="","",케이스목록!$G19)</f>
        <v>품명명확</v>
      </c>
      <c r="G19" s="13" t="s">
        <v>334</v>
      </c>
      <c r="H19" s="21" t="n">
        <f aca="false">IF(OR($D19="",$G19=""),"",IF(LEFT(SUBSTITUTE(SUBSTITUTE(SUBSTITUTE(SUBSTITUTE(SUBSTITUTE($D19,".",""),"-","")," ","")," ",""),CHAR(9),""),4)=LEFT(SUBSTITUTE(SUBSTITUTE(SUBSTITUTE(SUBSTITUTE(SUBSTITUTE($G19,".",""),"-","")," ","")," ",""),CHAR(9),""),4),1,0))</f>
        <v>0</v>
      </c>
      <c r="I19" s="21" t="n">
        <f aca="false">IF(OR($D19="",$G19=""),"",IF(LEFT(SUBSTITUTE(SUBSTITUTE(SUBSTITUTE(SUBSTITUTE(SUBSTITUTE($D19,".",""),"-","")," ","")," ",""),CHAR(9),""),6)=LEFT(SUBSTITUTE(SUBSTITUTE(SUBSTITUTE(SUBSTITUTE(SUBSTITUTE($G19,".",""),"-","")," ","")," ",""),CHAR(9),""),6),1,0))</f>
        <v>0</v>
      </c>
      <c r="J19" s="21" t="n">
        <f aca="false">IF(OR($D19="",$G19=""),"",IF(SUBSTITUTE(SUBSTITUTE(SUBSTITUTE(SUBSTITUTE(SUBSTITUTE($D19,".",""),"-","")," ","")," ",""),CHAR(9),"")=SUBSTITUTE(SUBSTITUTE(SUBSTITUTE(SUBSTITUTE(SUBSTITUTE($G19,".",""),"-","")," ","")," ",""),CHAR(9),""),1,0))</f>
        <v>0</v>
      </c>
      <c r="K19" s="15" t="s">
        <v>60</v>
      </c>
      <c r="L19" s="15" t="n">
        <v>0</v>
      </c>
      <c r="M19" s="16" t="s">
        <v>321</v>
      </c>
      <c r="N19" s="16"/>
    </row>
    <row r="20" customFormat="false" ht="39.75" hidden="false" customHeight="true" outlineLevel="0" collapsed="false">
      <c r="A20" s="21" t="n">
        <v>16</v>
      </c>
      <c r="B20" s="22" t="str">
        <f aca="false">IF(케이스목록!$B20="","",케이스목록!$B20)</f>
        <v>품목분류2과-1000</v>
      </c>
      <c r="C20" s="23" t="str">
        <f aca="false">IF(케이스목록!$C20="","",케이스목록!$C20)</f>
        <v>Hepatitis A Vaccine Inactivated-Final Container-Internal Control; CWN0697A39</v>
      </c>
      <c r="D20" s="24" t="str">
        <f aca="false">IF(케이스목록!$D20="","",케이스목록!$D20)</f>
        <v>3002494000</v>
      </c>
      <c r="E20" s="22" t="str">
        <f aca="false">IF(케이스목록!$I20="","",케이스목록!$I20)</f>
        <v>O</v>
      </c>
      <c r="F20" s="22" t="str">
        <f aca="false">IF(케이스목록!$G20="","",케이스목록!$G20)</f>
        <v>품명명확</v>
      </c>
      <c r="G20" s="13" t="s">
        <v>335</v>
      </c>
      <c r="H20" s="21" t="n">
        <f aca="false">IF(OR($D20="",$G20=""),"",IF(LEFT(SUBSTITUTE(SUBSTITUTE(SUBSTITUTE(SUBSTITUTE(SUBSTITUTE($D20,".",""),"-","")," ","")," ",""),CHAR(9),""),4)=LEFT(SUBSTITUTE(SUBSTITUTE(SUBSTITUTE(SUBSTITUTE(SUBSTITUTE($G20,".",""),"-","")," ","")," ",""),CHAR(9),""),4),1,0))</f>
        <v>1</v>
      </c>
      <c r="I20" s="21" t="n">
        <f aca="false">IF(OR($D20="",$G20=""),"",IF(LEFT(SUBSTITUTE(SUBSTITUTE(SUBSTITUTE(SUBSTITUTE(SUBSTITUTE($D20,".",""),"-","")," ","")," ",""),CHAR(9),""),6)=LEFT(SUBSTITUTE(SUBSTITUTE(SUBSTITUTE(SUBSTITUTE(SUBSTITUTE($G20,".",""),"-","")," ","")," ",""),CHAR(9),""),6),1,0))</f>
        <v>0</v>
      </c>
      <c r="J20" s="21" t="n">
        <f aca="false">IF(OR($D20="",$G20=""),"",IF(SUBSTITUTE(SUBSTITUTE(SUBSTITUTE(SUBSTITUTE(SUBSTITUTE($D20,".",""),"-","")," ","")," ",""),CHAR(9),"")=SUBSTITUTE(SUBSTITUTE(SUBSTITUTE(SUBSTITUTE(SUBSTITUTE($G20,".",""),"-","")," ","")," ",""),CHAR(9),""),1,0))</f>
        <v>0</v>
      </c>
      <c r="K20" s="15" t="s">
        <v>60</v>
      </c>
      <c r="L20" s="15" t="n">
        <v>0</v>
      </c>
      <c r="M20" s="16" t="s">
        <v>321</v>
      </c>
      <c r="N20" s="16"/>
    </row>
    <row r="21" customFormat="false" ht="39.75" hidden="false" customHeight="true" outlineLevel="0" collapsed="false">
      <c r="A21" s="21" t="n">
        <v>17</v>
      </c>
      <c r="B21" s="22" t="str">
        <f aca="false">IF(케이스목록!$B21="","",케이스목록!$B21)</f>
        <v>품목분류2과-254</v>
      </c>
      <c r="C21" s="23" t="str">
        <f aca="false">IF(케이스목록!$C21="","",케이스목록!$C21)</f>
        <v>ZEASTAT</v>
      </c>
      <c r="D21" s="24" t="str">
        <f aca="false">IF(케이스목록!$D21="","",케이스목록!$D21)</f>
        <v>3808999000</v>
      </c>
      <c r="E21" s="22" t="str">
        <f aca="false">IF(케이스목록!$I21="","",케이스목록!$I21)</f>
        <v>O</v>
      </c>
      <c r="F21" s="22" t="str">
        <f aca="false">IF(케이스목록!$G21="","",케이스목록!$G21)</f>
        <v>품번only</v>
      </c>
      <c r="G21" s="13" t="s">
        <v>224</v>
      </c>
      <c r="H21" s="21" t="n">
        <f aca="false">IF(OR($D21="",$G21=""),"",IF(LEFT(SUBSTITUTE(SUBSTITUTE(SUBSTITUTE(SUBSTITUTE(SUBSTITUTE($D21,".",""),"-","")," ","")," ",""),CHAR(9),""),4)=LEFT(SUBSTITUTE(SUBSTITUTE(SUBSTITUTE(SUBSTITUTE(SUBSTITUTE($G21,".",""),"-","")," ","")," ",""),CHAR(9),""),4),1,0))</f>
        <v>0</v>
      </c>
      <c r="I21" s="21" t="n">
        <f aca="false">IF(OR($D21="",$G21=""),"",IF(LEFT(SUBSTITUTE(SUBSTITUTE(SUBSTITUTE(SUBSTITUTE(SUBSTITUTE($D21,".",""),"-","")," ","")," ",""),CHAR(9),""),6)=LEFT(SUBSTITUTE(SUBSTITUTE(SUBSTITUTE(SUBSTITUTE(SUBSTITUTE($G21,".",""),"-","")," ","")," ",""),CHAR(9),""),6),1,0))</f>
        <v>0</v>
      </c>
      <c r="J21" s="21" t="n">
        <f aca="false">IF(OR($D21="",$G21=""),"",IF(SUBSTITUTE(SUBSTITUTE(SUBSTITUTE(SUBSTITUTE(SUBSTITUTE($D21,".",""),"-","")," ","")," ",""),CHAR(9),"")=SUBSTITUTE(SUBSTITUTE(SUBSTITUTE(SUBSTITUTE(SUBSTITUTE($G21,".",""),"-","")," ","")," ",""),CHAR(9),""),1,0))</f>
        <v>0</v>
      </c>
      <c r="K21" s="15" t="s">
        <v>60</v>
      </c>
      <c r="L21" s="15" t="n">
        <v>0</v>
      </c>
      <c r="M21" s="16" t="s">
        <v>321</v>
      </c>
      <c r="N21" s="16"/>
    </row>
    <row r="22" customFormat="false" ht="39.75" hidden="false" customHeight="true" outlineLevel="0" collapsed="false">
      <c r="A22" s="21" t="n">
        <v>18</v>
      </c>
      <c r="B22" s="22" t="str">
        <f aca="false">IF(케이스목록!$B22="","",케이스목록!$B22)</f>
        <v>품목분류1과-1222</v>
      </c>
      <c r="C22" s="23" t="str">
        <f aca="false">IF(케이스목록!$C22="","",케이스목록!$C22)</f>
        <v>OPENER</v>
      </c>
      <c r="D22" s="24" t="str">
        <f aca="false">IF(케이스목록!$D22="","",케이스목록!$D22)</f>
        <v>8205510000</v>
      </c>
      <c r="E22" s="22" t="str">
        <f aca="false">IF(케이스목록!$I22="","",케이스목록!$I22)</f>
        <v>O</v>
      </c>
      <c r="F22" s="22" t="str">
        <f aca="false">IF(케이스목록!$G22="","",케이스목록!$G22)</f>
        <v>품명명확</v>
      </c>
      <c r="G22" s="13" t="s">
        <v>336</v>
      </c>
      <c r="H22" s="21" t="n">
        <f aca="false">IF(OR($D22="",$G22=""),"",IF(LEFT(SUBSTITUTE(SUBSTITUTE(SUBSTITUTE(SUBSTITUTE(SUBSTITUTE($D22,".",""),"-","")," ","")," ",""),CHAR(9),""),4)=LEFT(SUBSTITUTE(SUBSTITUTE(SUBSTITUTE(SUBSTITUTE(SUBSTITUTE($G22,".",""),"-","")," ","")," ",""),CHAR(9),""),4),1,0))</f>
        <v>1</v>
      </c>
      <c r="I22" s="21" t="n">
        <f aca="false">IF(OR($D22="",$G22=""),"",IF(LEFT(SUBSTITUTE(SUBSTITUTE(SUBSTITUTE(SUBSTITUTE(SUBSTITUTE($D22,".",""),"-","")," ","")," ",""),CHAR(9),""),6)=LEFT(SUBSTITUTE(SUBSTITUTE(SUBSTITUTE(SUBSTITUTE(SUBSTITUTE($G22,".",""),"-","")," ","")," ",""),CHAR(9),""),6),1,0))</f>
        <v>1</v>
      </c>
      <c r="J22" s="21" t="n">
        <f aca="false">IF(OR($D22="",$G22=""),"",IF(SUBSTITUTE(SUBSTITUTE(SUBSTITUTE(SUBSTITUTE(SUBSTITUTE($D22,".",""),"-","")," ","")," ",""),CHAR(9),"")=SUBSTITUTE(SUBSTITUTE(SUBSTITUTE(SUBSTITUTE(SUBSTITUTE($G22,".",""),"-","")," ","")," ",""),CHAR(9),""),1,0))</f>
        <v>1</v>
      </c>
      <c r="K22" s="15" t="s">
        <v>60</v>
      </c>
      <c r="L22" s="15" t="n">
        <v>0</v>
      </c>
      <c r="M22" s="16" t="s">
        <v>321</v>
      </c>
      <c r="N22" s="16"/>
    </row>
    <row r="23" customFormat="false" ht="39.75" hidden="false" customHeight="true" outlineLevel="0" collapsed="false">
      <c r="A23" s="21" t="n">
        <v>19</v>
      </c>
      <c r="B23" s="22" t="str">
        <f aca="false">IF(케이스목록!$B23="","",케이스목록!$B23)</f>
        <v>품목분류3과-665</v>
      </c>
      <c r="C23" s="23" t="str">
        <f aca="false">IF(케이스목록!$C23="","",케이스목록!$C23)</f>
        <v>PVC ROLLING MAT</v>
      </c>
      <c r="D23" s="24" t="str">
        <f aca="false">IF(케이스목록!$D23="","",케이스목록!$D23)</f>
        <v>3918101000</v>
      </c>
      <c r="E23" s="22" t="str">
        <f aca="false">IF(케이스목록!$I23="","",케이스목록!$I23)</f>
        <v>O</v>
      </c>
      <c r="F23" s="22" t="str">
        <f aca="false">IF(케이스목록!$G23="","",케이스목록!$G23)</f>
        <v>품명명확</v>
      </c>
      <c r="G23" s="13" t="s">
        <v>337</v>
      </c>
      <c r="H23" s="21" t="n">
        <f aca="false">IF(OR($D23="",$G23=""),"",IF(LEFT(SUBSTITUTE(SUBSTITUTE(SUBSTITUTE(SUBSTITUTE(SUBSTITUTE($D23,".",""),"-","")," ","")," ",""),CHAR(9),""),4)=LEFT(SUBSTITUTE(SUBSTITUTE(SUBSTITUTE(SUBSTITUTE(SUBSTITUTE($G23,".",""),"-","")," ","")," ",""),CHAR(9),""),4),1,0))</f>
        <v>1</v>
      </c>
      <c r="I23" s="21" t="n">
        <f aca="false">IF(OR($D23="",$G23=""),"",IF(LEFT(SUBSTITUTE(SUBSTITUTE(SUBSTITUTE(SUBSTITUTE(SUBSTITUTE($D23,".",""),"-","")," ","")," ",""),CHAR(9),""),6)=LEFT(SUBSTITUTE(SUBSTITUTE(SUBSTITUTE(SUBSTITUTE(SUBSTITUTE($G23,".",""),"-","")," ","")," ",""),CHAR(9),""),6),1,0))</f>
        <v>1</v>
      </c>
      <c r="J23" s="21" t="n">
        <f aca="false">IF(OR($D23="",$G23=""),"",IF(SUBSTITUTE(SUBSTITUTE(SUBSTITUTE(SUBSTITUTE(SUBSTITUTE($D23,".",""),"-","")," ","")," ",""),CHAR(9),"")=SUBSTITUTE(SUBSTITUTE(SUBSTITUTE(SUBSTITUTE(SUBSTITUTE($G23,".",""),"-","")," ","")," ",""),CHAR(9),""),1,0))</f>
        <v>1</v>
      </c>
      <c r="K23" s="15" t="s">
        <v>60</v>
      </c>
      <c r="L23" s="15" t="n">
        <v>0</v>
      </c>
      <c r="M23" s="16" t="s">
        <v>321</v>
      </c>
      <c r="N23" s="16"/>
    </row>
    <row r="24" customFormat="false" ht="39.75" hidden="false" customHeight="true" outlineLevel="0" collapsed="false">
      <c r="A24" s="21" t="n">
        <v>20</v>
      </c>
      <c r="B24" s="22" t="str">
        <f aca="false">IF(케이스목록!$B24="","",케이스목록!$B24)</f>
        <v>품목분류1과-227</v>
      </c>
      <c r="C24" s="23" t="str">
        <f aca="false">IF(케이스목록!$C24="","",케이스목록!$C24)</f>
        <v>Samsung Freezer (모델명 : RZ24A5600AP)</v>
      </c>
      <c r="D24" s="24" t="str">
        <f aca="false">IF(케이스목록!$D24="","",케이스목록!$D24)</f>
        <v>8418400000</v>
      </c>
      <c r="E24" s="22" t="str">
        <f aca="false">IF(케이스목록!$I24="","",케이스목록!$I24)</f>
        <v>O</v>
      </c>
      <c r="F24" s="22" t="str">
        <f aca="false">IF(케이스목록!$G24="","",케이스목록!$G24)</f>
        <v>품명명확</v>
      </c>
      <c r="G24" s="13" t="s">
        <v>338</v>
      </c>
      <c r="H24" s="21" t="n">
        <f aca="false">IF(OR($D24="",$G24=""),"",IF(LEFT(SUBSTITUTE(SUBSTITUTE(SUBSTITUTE(SUBSTITUTE(SUBSTITUTE($D24,".",""),"-","")," ","")," ",""),CHAR(9),""),4)=LEFT(SUBSTITUTE(SUBSTITUTE(SUBSTITUTE(SUBSTITUTE(SUBSTITUTE($G24,".",""),"-","")," ","")," ",""),CHAR(9),""),4),1,0))</f>
        <v>1</v>
      </c>
      <c r="I24" s="21" t="n">
        <f aca="false">IF(OR($D24="",$G24=""),"",IF(LEFT(SUBSTITUTE(SUBSTITUTE(SUBSTITUTE(SUBSTITUTE(SUBSTITUTE($D24,".",""),"-","")," ","")," ",""),CHAR(9),""),6)=LEFT(SUBSTITUTE(SUBSTITUTE(SUBSTITUTE(SUBSTITUTE(SUBSTITUTE($G24,".",""),"-","")," ","")," ",""),CHAR(9),""),6),1,0))</f>
        <v>1</v>
      </c>
      <c r="J24" s="21" t="n">
        <f aca="false">IF(OR($D24="",$G24=""),"",IF(SUBSTITUTE(SUBSTITUTE(SUBSTITUTE(SUBSTITUTE(SUBSTITUTE($D24,".",""),"-","")," ","")," ",""),CHAR(9),"")=SUBSTITUTE(SUBSTITUTE(SUBSTITUTE(SUBSTITUTE(SUBSTITUTE($G24,".",""),"-","")," ","")," ",""),CHAR(9),""),1,0))</f>
        <v>0</v>
      </c>
      <c r="K24" s="15" t="s">
        <v>60</v>
      </c>
      <c r="L24" s="15" t="n">
        <v>0</v>
      </c>
      <c r="M24" s="16" t="s">
        <v>321</v>
      </c>
      <c r="N24" s="16"/>
    </row>
    <row r="25" customFormat="false" ht="39.75" hidden="false" customHeight="true" outlineLevel="0" collapsed="false">
      <c r="A25" s="21" t="n">
        <v>21</v>
      </c>
      <c r="B25" s="22" t="str">
        <f aca="false">IF(케이스목록!$B25="","",케이스목록!$B25)</f>
        <v>품목분류4과-136</v>
      </c>
      <c r="C25" s="23" t="str">
        <f aca="false">IF(케이스목록!$C25="","",케이스목록!$C25)</f>
        <v>중심봉147N(분체); C1-G5047-60; CN</v>
      </c>
      <c r="D25" s="24" t="str">
        <f aca="false">IF(케이스목록!$D25="","",케이스목록!$D25)</f>
        <v>9401991000</v>
      </c>
      <c r="E25" s="22" t="str">
        <f aca="false">IF(케이스목록!$I25="","",케이스목록!$I25)</f>
        <v>O</v>
      </c>
      <c r="F25" s="22" t="str">
        <f aca="false">IF(케이스목록!$G25="","",케이스목록!$G25)</f>
        <v>품번only</v>
      </c>
      <c r="G25" s="13" t="s">
        <v>339</v>
      </c>
      <c r="H25" s="21" t="n">
        <f aca="false">IF(OR($D25="",$G25=""),"",IF(LEFT(SUBSTITUTE(SUBSTITUTE(SUBSTITUTE(SUBSTITUTE(SUBSTITUTE($D25,".",""),"-","")," ","")," ",""),CHAR(9),""),4)=LEFT(SUBSTITUTE(SUBSTITUTE(SUBSTITUTE(SUBSTITUTE(SUBSTITUTE($G25,".",""),"-","")," ","")," ",""),CHAR(9),""),4),1,0))</f>
        <v>0</v>
      </c>
      <c r="I25" s="21" t="n">
        <f aca="false">IF(OR($D25="",$G25=""),"",IF(LEFT(SUBSTITUTE(SUBSTITUTE(SUBSTITUTE(SUBSTITUTE(SUBSTITUTE($D25,".",""),"-","")," ","")," ",""),CHAR(9),""),6)=LEFT(SUBSTITUTE(SUBSTITUTE(SUBSTITUTE(SUBSTITUTE(SUBSTITUTE($G25,".",""),"-","")," ","")," ",""),CHAR(9),""),6),1,0))</f>
        <v>0</v>
      </c>
      <c r="J25" s="21" t="n">
        <f aca="false">IF(OR($D25="",$G25=""),"",IF(SUBSTITUTE(SUBSTITUTE(SUBSTITUTE(SUBSTITUTE(SUBSTITUTE($D25,".",""),"-","")," ","")," ",""),CHAR(9),"")=SUBSTITUTE(SUBSTITUTE(SUBSTITUTE(SUBSTITUTE(SUBSTITUTE($G25,".",""),"-","")," ","")," ",""),CHAR(9),""),1,0))</f>
        <v>0</v>
      </c>
      <c r="K25" s="15" t="s">
        <v>60</v>
      </c>
      <c r="L25" s="15" t="n">
        <v>0</v>
      </c>
      <c r="M25" s="16" t="s">
        <v>321</v>
      </c>
      <c r="N25" s="16"/>
    </row>
    <row r="26" customFormat="false" ht="39.75" hidden="false" customHeight="true" outlineLevel="0" collapsed="false">
      <c r="A26" s="21" t="n">
        <v>22</v>
      </c>
      <c r="B26" s="22" t="str">
        <f aca="false">IF(케이스목록!$B26="","",케이스목록!$B26)</f>
        <v>품목분류4과-676</v>
      </c>
      <c r="C26" s="23" t="str">
        <f aca="false">IF(케이스목록!$C26="","",케이스목록!$C26)</f>
        <v>MEGAD PC-WR</v>
      </c>
      <c r="D26" s="24" t="str">
        <f aca="false">IF(케이스목록!$D26="","",케이스목록!$D26)</f>
        <v>3907291090</v>
      </c>
      <c r="E26" s="22" t="str">
        <f aca="false">IF(케이스목록!$I26="","",케이스목록!$I26)</f>
        <v>O</v>
      </c>
      <c r="F26" s="22" t="str">
        <f aca="false">IF(케이스목록!$G26="","",케이스목록!$G26)</f>
        <v>품명명확</v>
      </c>
      <c r="G26" s="13" t="s">
        <v>340</v>
      </c>
      <c r="H26" s="21" t="n">
        <f aca="false">IF(OR($D26="",$G26=""),"",IF(LEFT(SUBSTITUTE(SUBSTITUTE(SUBSTITUTE(SUBSTITUTE(SUBSTITUTE($D26,".",""),"-","")," ","")," ",""),CHAR(9),""),4)=LEFT(SUBSTITUTE(SUBSTITUTE(SUBSTITUTE(SUBSTITUTE(SUBSTITUTE($G26,".",""),"-","")," ","")," ",""),CHAR(9),""),4),1,0))</f>
        <v>0</v>
      </c>
      <c r="I26" s="21" t="n">
        <f aca="false">IF(OR($D26="",$G26=""),"",IF(LEFT(SUBSTITUTE(SUBSTITUTE(SUBSTITUTE(SUBSTITUTE(SUBSTITUTE($D26,".",""),"-","")," ","")," ",""),CHAR(9),""),6)=LEFT(SUBSTITUTE(SUBSTITUTE(SUBSTITUTE(SUBSTITUTE(SUBSTITUTE($G26,".",""),"-","")," ","")," ",""),CHAR(9),""),6),1,0))</f>
        <v>0</v>
      </c>
      <c r="J26" s="21" t="n">
        <f aca="false">IF(OR($D26="",$G26=""),"",IF(SUBSTITUTE(SUBSTITUTE(SUBSTITUTE(SUBSTITUTE(SUBSTITUTE($D26,".",""),"-","")," ","")," ",""),CHAR(9),"")=SUBSTITUTE(SUBSTITUTE(SUBSTITUTE(SUBSTITUTE(SUBSTITUTE($G26,".",""),"-","")," ","")," ",""),CHAR(9),""),1,0))</f>
        <v>0</v>
      </c>
      <c r="K26" s="15" t="s">
        <v>60</v>
      </c>
      <c r="L26" s="15" t="n">
        <v>0</v>
      </c>
      <c r="M26" s="16" t="s">
        <v>321</v>
      </c>
      <c r="N26" s="16"/>
    </row>
    <row r="27" customFormat="false" ht="39.75" hidden="false" customHeight="true" outlineLevel="0" collapsed="false">
      <c r="A27" s="21" t="n">
        <v>23</v>
      </c>
      <c r="B27" s="22" t="str">
        <f aca="false">IF(케이스목록!$B27="","",케이스목록!$B27)</f>
        <v>품목분류4과-174</v>
      </c>
      <c r="C27" s="23" t="str">
        <f aca="false">IF(케이스목록!$C27="","",케이스목록!$C27)</f>
        <v>WOMEN'S SHOES 25SLT-NW059</v>
      </c>
      <c r="D27" s="24" t="str">
        <f aca="false">IF(케이스목록!$D27="","",케이스목록!$D27)</f>
        <v>6403999000</v>
      </c>
      <c r="E27" s="22" t="str">
        <f aca="false">IF(케이스목록!$I27="","",케이스목록!$I27)</f>
        <v>O</v>
      </c>
      <c r="F27" s="22" t="str">
        <f aca="false">IF(케이스목록!$G27="","",케이스목록!$G27)</f>
        <v>품명명확</v>
      </c>
      <c r="G27" s="13" t="s">
        <v>276</v>
      </c>
      <c r="H27" s="21" t="n">
        <f aca="false">IF(OR($D27="",$G27=""),"",IF(LEFT(SUBSTITUTE(SUBSTITUTE(SUBSTITUTE(SUBSTITUTE(SUBSTITUTE($D27,".",""),"-","")," ","")," ",""),CHAR(9),""),4)=LEFT(SUBSTITUTE(SUBSTITUTE(SUBSTITUTE(SUBSTITUTE(SUBSTITUTE($G27,".",""),"-","")," ","")," ",""),CHAR(9),""),4),1,0))</f>
        <v>1</v>
      </c>
      <c r="I27" s="21" t="n">
        <f aca="false">IF(OR($D27="",$G27=""),"",IF(LEFT(SUBSTITUTE(SUBSTITUTE(SUBSTITUTE(SUBSTITUTE(SUBSTITUTE($D27,".",""),"-","")," ","")," ",""),CHAR(9),""),6)=LEFT(SUBSTITUTE(SUBSTITUTE(SUBSTITUTE(SUBSTITUTE(SUBSTITUTE($G27,".",""),"-","")," ","")," ",""),CHAR(9),""),6),1,0))</f>
        <v>1</v>
      </c>
      <c r="J27" s="21" t="n">
        <f aca="false">IF(OR($D27="",$G27=""),"",IF(SUBSTITUTE(SUBSTITUTE(SUBSTITUTE(SUBSTITUTE(SUBSTITUTE($D27,".",""),"-","")," ","")," ",""),CHAR(9),"")=SUBSTITUTE(SUBSTITUTE(SUBSTITUTE(SUBSTITUTE(SUBSTITUTE($G27,".",""),"-","")," ","")," ",""),CHAR(9),""),1,0))</f>
        <v>0</v>
      </c>
      <c r="K27" s="15" t="s">
        <v>60</v>
      </c>
      <c r="L27" s="15" t="n">
        <v>0</v>
      </c>
      <c r="M27" s="16" t="s">
        <v>321</v>
      </c>
      <c r="N27" s="16"/>
    </row>
    <row r="28" customFormat="false" ht="39.75" hidden="false" customHeight="true" outlineLevel="0" collapsed="false">
      <c r="A28" s="21" t="n">
        <v>24</v>
      </c>
      <c r="B28" s="22" t="str">
        <f aca="false">IF(케이스목록!$B28="","",케이스목록!$B28)</f>
        <v>품목분류3과-183</v>
      </c>
      <c r="C28" s="23" t="str">
        <f aca="false">IF(케이스목록!$C28="","",케이스목록!$C28)</f>
        <v>Monitor Arm ; PMA2W</v>
      </c>
      <c r="D28" s="24" t="str">
        <f aca="false">IF(케이스목록!$D28="","",케이스목록!$D28)</f>
        <v>7616999090</v>
      </c>
      <c r="E28" s="22" t="str">
        <f aca="false">IF(케이스목록!$I28="","",케이스목록!$I28)</f>
        <v>O</v>
      </c>
      <c r="F28" s="22" t="str">
        <f aca="false">IF(케이스목록!$G28="","",케이스목록!$G28)</f>
        <v>품명명확</v>
      </c>
      <c r="G28" s="13" t="s">
        <v>341</v>
      </c>
      <c r="H28" s="21" t="n">
        <f aca="false">IF(OR($D28="",$G28=""),"",IF(LEFT(SUBSTITUTE(SUBSTITUTE(SUBSTITUTE(SUBSTITUTE(SUBSTITUTE($D28,".",""),"-","")," ","")," ",""),CHAR(9),""),4)=LEFT(SUBSTITUTE(SUBSTITUTE(SUBSTITUTE(SUBSTITUTE(SUBSTITUTE($G28,".",""),"-","")," ","")," ",""),CHAR(9),""),4),1,0))</f>
        <v>0</v>
      </c>
      <c r="I28" s="21" t="n">
        <f aca="false">IF(OR($D28="",$G28=""),"",IF(LEFT(SUBSTITUTE(SUBSTITUTE(SUBSTITUTE(SUBSTITUTE(SUBSTITUTE($D28,".",""),"-","")," ","")," ",""),CHAR(9),""),6)=LEFT(SUBSTITUTE(SUBSTITUTE(SUBSTITUTE(SUBSTITUTE(SUBSTITUTE($G28,".",""),"-","")," ","")," ",""),CHAR(9),""),6),1,0))</f>
        <v>0</v>
      </c>
      <c r="J28" s="21" t="n">
        <f aca="false">IF(OR($D28="",$G28=""),"",IF(SUBSTITUTE(SUBSTITUTE(SUBSTITUTE(SUBSTITUTE(SUBSTITUTE($D28,".",""),"-","")," ","")," ",""),CHAR(9),"")=SUBSTITUTE(SUBSTITUTE(SUBSTITUTE(SUBSTITUTE(SUBSTITUTE($G28,".",""),"-","")," ","")," ",""),CHAR(9),""),1,0))</f>
        <v>0</v>
      </c>
      <c r="K28" s="15" t="s">
        <v>60</v>
      </c>
      <c r="L28" s="15" t="n">
        <v>0</v>
      </c>
      <c r="M28" s="16" t="s">
        <v>321</v>
      </c>
      <c r="N28" s="16"/>
    </row>
    <row r="29" customFormat="false" ht="39.75" hidden="false" customHeight="true" outlineLevel="0" collapsed="false">
      <c r="A29" s="21" t="n">
        <v>25</v>
      </c>
      <c r="B29" s="22" t="str">
        <f aca="false">IF(케이스목록!$B29="","",케이스목록!$B29)</f>
        <v>품목분류2과-1452</v>
      </c>
      <c r="C29" s="23" t="str">
        <f aca="false">IF(케이스목록!$C29="","",케이스목록!$C29)</f>
        <v>PROPOLIS ROYAL JELLY HONEY MIX; Propolis Honey Mix. For Kids</v>
      </c>
      <c r="D29" s="24" t="str">
        <f aca="false">IF(케이스목록!$D29="","",케이스목록!$D29)</f>
        <v>0409000000</v>
      </c>
      <c r="E29" s="22" t="str">
        <f aca="false">IF(케이스목록!$I29="","",케이스목록!$I29)</f>
        <v>O</v>
      </c>
      <c r="F29" s="22" t="str">
        <f aca="false">IF(케이스목록!$G29="","",케이스목록!$G29)</f>
        <v>품명명확</v>
      </c>
      <c r="G29" s="13" t="s">
        <v>287</v>
      </c>
      <c r="H29" s="21" t="n">
        <f aca="false">IF(OR($D29="",$G29=""),"",IF(LEFT(SUBSTITUTE(SUBSTITUTE(SUBSTITUTE(SUBSTITUTE(SUBSTITUTE($D29,".",""),"-","")," ","")," ",""),CHAR(9),""),4)=LEFT(SUBSTITUTE(SUBSTITUTE(SUBSTITUTE(SUBSTITUTE(SUBSTITUTE($G29,".",""),"-","")," ","")," ",""),CHAR(9),""),4),1,0))</f>
        <v>0</v>
      </c>
      <c r="I29" s="21" t="n">
        <f aca="false">IF(OR($D29="",$G29=""),"",IF(LEFT(SUBSTITUTE(SUBSTITUTE(SUBSTITUTE(SUBSTITUTE(SUBSTITUTE($D29,".",""),"-","")," ","")," ",""),CHAR(9),""),6)=LEFT(SUBSTITUTE(SUBSTITUTE(SUBSTITUTE(SUBSTITUTE(SUBSTITUTE($G29,".",""),"-","")," ","")," ",""),CHAR(9),""),6),1,0))</f>
        <v>0</v>
      </c>
      <c r="J29" s="21" t="n">
        <f aca="false">IF(OR($D29="",$G29=""),"",IF(SUBSTITUTE(SUBSTITUTE(SUBSTITUTE(SUBSTITUTE(SUBSTITUTE($D29,".",""),"-","")," ","")," ",""),CHAR(9),"")=SUBSTITUTE(SUBSTITUTE(SUBSTITUTE(SUBSTITUTE(SUBSTITUTE($G29,".",""),"-","")," ","")," ",""),CHAR(9),""),1,0))</f>
        <v>0</v>
      </c>
      <c r="K29" s="15" t="s">
        <v>60</v>
      </c>
      <c r="L29" s="15" t="n">
        <v>0</v>
      </c>
      <c r="M29" s="16" t="s">
        <v>321</v>
      </c>
      <c r="N29" s="16"/>
    </row>
    <row r="30" customFormat="false" ht="39.75" hidden="false" customHeight="true" outlineLevel="0" collapsed="false">
      <c r="A30" s="21" t="n">
        <v>26</v>
      </c>
      <c r="B30" s="22" t="str">
        <f aca="false">IF(케이스목록!$B30="","",케이스목록!$B30)</f>
        <v>품목분류4과-947</v>
      </c>
      <c r="C30" s="23" t="str">
        <f aca="false">IF(케이스목록!$C30="","",케이스목록!$C30)</f>
        <v> REPAIR CAM-FUEL; MC TYPE ENGINE</v>
      </c>
      <c r="D30" s="24" t="str">
        <f aca="false">IF(케이스목록!$D30="","",케이스목록!$D30)</f>
        <v>8483909000</v>
      </c>
      <c r="E30" s="22" t="str">
        <f aca="false">IF(케이스목록!$I30="","",케이스목록!$I30)</f>
        <v>O</v>
      </c>
      <c r="F30" s="22" t="str">
        <f aca="false">IF(케이스목록!$G30="","",케이스목록!$G30)</f>
        <v>품명명확</v>
      </c>
      <c r="G30" s="13" t="s">
        <v>291</v>
      </c>
      <c r="H30" s="21" t="n">
        <f aca="false">IF(OR($D30="",$G30=""),"",IF(LEFT(SUBSTITUTE(SUBSTITUTE(SUBSTITUTE(SUBSTITUTE(SUBSTITUTE($D30,".",""),"-","")," ","")," ",""),CHAR(9),""),4)=LEFT(SUBSTITUTE(SUBSTITUTE(SUBSTITUTE(SUBSTITUTE(SUBSTITUTE($G30,".",""),"-","")," ","")," ",""),CHAR(9),""),4),1,0))</f>
        <v>0</v>
      </c>
      <c r="I30" s="21" t="n">
        <f aca="false">IF(OR($D30="",$G30=""),"",IF(LEFT(SUBSTITUTE(SUBSTITUTE(SUBSTITUTE(SUBSTITUTE(SUBSTITUTE($D30,".",""),"-","")," ","")," ",""),CHAR(9),""),6)=LEFT(SUBSTITUTE(SUBSTITUTE(SUBSTITUTE(SUBSTITUTE(SUBSTITUTE($G30,".",""),"-","")," ","")," ",""),CHAR(9),""),6),1,0))</f>
        <v>0</v>
      </c>
      <c r="J30" s="21" t="n">
        <f aca="false">IF(OR($D30="",$G30=""),"",IF(SUBSTITUTE(SUBSTITUTE(SUBSTITUTE(SUBSTITUTE(SUBSTITUTE($D30,".",""),"-","")," ","")," ",""),CHAR(9),"")=SUBSTITUTE(SUBSTITUTE(SUBSTITUTE(SUBSTITUTE(SUBSTITUTE($G30,".",""),"-","")," ","")," ",""),CHAR(9),""),1,0))</f>
        <v>0</v>
      </c>
      <c r="K30" s="15" t="s">
        <v>60</v>
      </c>
      <c r="L30" s="15" t="n">
        <v>0</v>
      </c>
      <c r="M30" s="16" t="s">
        <v>321</v>
      </c>
      <c r="N30" s="16"/>
    </row>
    <row r="31" customFormat="false" ht="39.75" hidden="false" customHeight="true" outlineLevel="0" collapsed="false">
      <c r="A31" s="21" t="n">
        <v>27</v>
      </c>
      <c r="B31" s="22" t="str">
        <f aca="false">IF(케이스목록!$B31="","",케이스목록!$B31)</f>
        <v>품목분류3과-1088</v>
      </c>
      <c r="C31" s="23" t="str">
        <f aca="false">IF(케이스목록!$C31="","",케이스목록!$C31)</f>
        <v> PE Tarpaulin(GUARDMAN)</v>
      </c>
      <c r="D31" s="24" t="str">
        <f aca="false">IF(케이스목록!$D31="","",케이스목록!$D31)</f>
        <v>3926909000</v>
      </c>
      <c r="E31" s="22" t="str">
        <f aca="false">IF(케이스목록!$I31="","",케이스목록!$I31)</f>
        <v>O</v>
      </c>
      <c r="F31" s="22" t="str">
        <f aca="false">IF(케이스목록!$G31="","",케이스목록!$G31)</f>
        <v>품명명확</v>
      </c>
      <c r="G31" s="25" t="s">
        <v>342</v>
      </c>
      <c r="H31" s="21" t="n">
        <f aca="false">IF(OR($D31="",$G31=""),"",IF(LEFT(SUBSTITUTE(SUBSTITUTE(SUBSTITUTE(SUBSTITUTE(SUBSTITUTE($D31,".",""),"-","")," ","")," ",""),CHAR(9),""),4)=LEFT(SUBSTITUTE(SUBSTITUTE(SUBSTITUTE(SUBSTITUTE(SUBSTITUTE($G31,".",""),"-","")," ","")," ",""),CHAR(9),""),4),1,0))</f>
        <v>0</v>
      </c>
      <c r="I31" s="21" t="n">
        <f aca="false">IF(OR($D31="",$G31=""),"",IF(LEFT(SUBSTITUTE(SUBSTITUTE(SUBSTITUTE(SUBSTITUTE(SUBSTITUTE($D31,".",""),"-","")," ","")," ",""),CHAR(9),""),6)=LEFT(SUBSTITUTE(SUBSTITUTE(SUBSTITUTE(SUBSTITUTE(SUBSTITUTE($G31,".",""),"-","")," ","")," ",""),CHAR(9),""),6),1,0))</f>
        <v>0</v>
      </c>
      <c r="J31" s="21" t="n">
        <f aca="false">IF(OR($D31="",$G31=""),"",IF(SUBSTITUTE(SUBSTITUTE(SUBSTITUTE(SUBSTITUTE(SUBSTITUTE($D31,".",""),"-","")," ","")," ",""),CHAR(9),"")=SUBSTITUTE(SUBSTITUTE(SUBSTITUTE(SUBSTITUTE(SUBSTITUTE($G31,".",""),"-","")," ","")," ",""),CHAR(9),""),1,0))</f>
        <v>0</v>
      </c>
      <c r="K31" s="15" t="s">
        <v>60</v>
      </c>
      <c r="L31" s="15" t="n">
        <v>0</v>
      </c>
      <c r="M31" s="16" t="s">
        <v>321</v>
      </c>
      <c r="N31" s="16"/>
    </row>
    <row r="32" customFormat="false" ht="39.75" hidden="false" customHeight="true" outlineLevel="0" collapsed="false">
      <c r="A32" s="21" t="n">
        <v>28</v>
      </c>
      <c r="B32" s="22" t="str">
        <f aca="false">IF(케이스목록!$B32="","",케이스목록!$B32)</f>
        <v>품목분류3과-200</v>
      </c>
      <c r="C32" s="23" t="str">
        <f aca="false">IF(케이스목록!$C32="","",케이스목록!$C32)</f>
        <v>4 Fingerprint CABLE 0.6m with Holder; UL2725 28*1P+26*2C+AL+32B OD3.5 블랙 PVC 0.6m;</v>
      </c>
      <c r="D32" s="24" t="str">
        <f aca="false">IF(케이스목록!$D32="","",케이스목록!$D32)</f>
        <v>8544422090</v>
      </c>
      <c r="E32" s="22" t="str">
        <f aca="false">IF(케이스목록!$I32="","",케이스목록!$I32)</f>
        <v>O</v>
      </c>
      <c r="F32" s="22" t="str">
        <f aca="false">IF(케이스목록!$G32="","",케이스목록!$G32)</f>
        <v>품명명확</v>
      </c>
      <c r="G32" s="13" t="s">
        <v>299</v>
      </c>
      <c r="H32" s="21" t="n">
        <f aca="false">IF(OR($D32="",$G32=""),"",IF(LEFT(SUBSTITUTE(SUBSTITUTE(SUBSTITUTE(SUBSTITUTE(SUBSTITUTE($D32,".",""),"-","")," ","")," ",""),CHAR(9),""),4)=LEFT(SUBSTITUTE(SUBSTITUTE(SUBSTITUTE(SUBSTITUTE(SUBSTITUTE($G32,".",""),"-","")," ","")," ",""),CHAR(9),""),4),1,0))</f>
        <v>1</v>
      </c>
      <c r="I32" s="21" t="n">
        <f aca="false">IF(OR($D32="",$G32=""),"",IF(LEFT(SUBSTITUTE(SUBSTITUTE(SUBSTITUTE(SUBSTITUTE(SUBSTITUTE($D32,".",""),"-","")," ","")," ",""),CHAR(9),""),6)=LEFT(SUBSTITUTE(SUBSTITUTE(SUBSTITUTE(SUBSTITUTE(SUBSTITUTE($G32,".",""),"-","")," ","")," ",""),CHAR(9),""),6),1,0))</f>
        <v>1</v>
      </c>
      <c r="J32" s="21" t="n">
        <f aca="false">IF(OR($D32="",$G32=""),"",IF(SUBSTITUTE(SUBSTITUTE(SUBSTITUTE(SUBSTITUTE(SUBSTITUTE($D32,".",""),"-","")," ","")," ",""),CHAR(9),"")=SUBSTITUTE(SUBSTITUTE(SUBSTITUTE(SUBSTITUTE(SUBSTITUTE($G32,".",""),"-","")," ","")," ",""),CHAR(9),""),1,0))</f>
        <v>0</v>
      </c>
      <c r="K32" s="15" t="s">
        <v>60</v>
      </c>
      <c r="L32" s="15" t="n">
        <v>0</v>
      </c>
      <c r="M32" s="16" t="s">
        <v>321</v>
      </c>
      <c r="N32" s="16"/>
    </row>
    <row r="33" customFormat="false" ht="39.75" hidden="false" customHeight="true" outlineLevel="0" collapsed="false">
      <c r="A33" s="21" t="n">
        <v>29</v>
      </c>
      <c r="B33" s="22" t="str">
        <f aca="false">IF(케이스목록!$B33="","",케이스목록!$B33)</f>
        <v> 품목분류2과-267</v>
      </c>
      <c r="C33" s="23" t="str">
        <f aca="false">IF(케이스목록!$C33="","",케이스목록!$C33)</f>
        <v>버터치킨카레(Butter Chicken Curry)</v>
      </c>
      <c r="D33" s="24" t="str">
        <f aca="false">IF(케이스목록!$D33="","",케이스목록!$D33)</f>
        <v>1602329000</v>
      </c>
      <c r="E33" s="22" t="str">
        <f aca="false">IF(케이스목록!$I33="","",케이스목록!$I33)</f>
        <v>O</v>
      </c>
      <c r="F33" s="22" t="str">
        <f aca="false">IF(케이스목록!$G33="","",케이스목록!$G33)</f>
        <v>품명명확</v>
      </c>
      <c r="G33" s="13" t="s">
        <v>302</v>
      </c>
      <c r="H33" s="21" t="n">
        <f aca="false">IF(OR($D33="",$G33=""),"",IF(LEFT(SUBSTITUTE(SUBSTITUTE(SUBSTITUTE(SUBSTITUTE(SUBSTITUTE($D33,".",""),"-","")," ","")," ",""),CHAR(9),""),4)=LEFT(SUBSTITUTE(SUBSTITUTE(SUBSTITUTE(SUBSTITUTE(SUBSTITUTE($G33,".",""),"-","")," ","")," ",""),CHAR(9),""),4),1,0))</f>
        <v>1</v>
      </c>
      <c r="I33" s="21" t="n">
        <f aca="false">IF(OR($D33="",$G33=""),"",IF(LEFT(SUBSTITUTE(SUBSTITUTE(SUBSTITUTE(SUBSTITUTE(SUBSTITUTE($D33,".",""),"-","")," ","")," ",""),CHAR(9),""),6)=LEFT(SUBSTITUTE(SUBSTITUTE(SUBSTITUTE(SUBSTITUTE(SUBSTITUTE($G33,".",""),"-","")," ","")," ",""),CHAR(9),""),6),1,0))</f>
        <v>1</v>
      </c>
      <c r="J33" s="21" t="n">
        <f aca="false">IF(OR($D33="",$G33=""),"",IF(SUBSTITUTE(SUBSTITUTE(SUBSTITUTE(SUBSTITUTE(SUBSTITUTE($D33,".",""),"-","")," ","")," ",""),CHAR(9),"")=SUBSTITUTE(SUBSTITUTE(SUBSTITUTE(SUBSTITUTE(SUBSTITUTE($G33,".",""),"-","")," ","")," ",""),CHAR(9),""),1,0))</f>
        <v>0</v>
      </c>
      <c r="K33" s="15" t="s">
        <v>60</v>
      </c>
      <c r="L33" s="15" t="n">
        <v>0</v>
      </c>
      <c r="M33" s="16" t="s">
        <v>321</v>
      </c>
      <c r="N33" s="16"/>
    </row>
    <row r="34" customFormat="false" ht="39.75" hidden="false" customHeight="true" outlineLevel="0" collapsed="false">
      <c r="A34" s="21" t="n">
        <v>30</v>
      </c>
      <c r="B34" s="22" t="str">
        <f aca="false">IF(케이스목록!$B34="","",케이스목록!$B34)</f>
        <v> 품목분류4과-3248</v>
      </c>
      <c r="C34" s="23" t="str">
        <f aca="false">IF(케이스목록!$C34="","",케이스목록!$C34)</f>
        <v>코듀로이 셔츠자켓; IKYC24W01</v>
      </c>
      <c r="D34" s="24" t="str">
        <f aca="false">IF(케이스목록!$D34="","",케이스목록!$D34)</f>
        <v>6205200000</v>
      </c>
      <c r="E34" s="22" t="str">
        <f aca="false">IF(케이스목록!$I34="","",케이스목록!$I34)</f>
        <v>O</v>
      </c>
      <c r="F34" s="22" t="str">
        <f aca="false">IF(케이스목록!$G34="","",케이스목록!$G34)</f>
        <v>품명명확</v>
      </c>
      <c r="G34" s="13" t="s">
        <v>343</v>
      </c>
      <c r="H34" s="21" t="n">
        <f aca="false">IF(OR($D34="",$G34=""),"",IF(LEFT(SUBSTITUTE(SUBSTITUTE(SUBSTITUTE(SUBSTITUTE(SUBSTITUTE($D34,".",""),"-","")," ","")," ",""),CHAR(9),""),4)=LEFT(SUBSTITUTE(SUBSTITUTE(SUBSTITUTE(SUBSTITUTE(SUBSTITUTE($G34,".",""),"-","")," ","")," ",""),CHAR(9),""),4),1,0))</f>
        <v>0</v>
      </c>
      <c r="I34" s="21" t="n">
        <f aca="false">IF(OR($D34="",$G34=""),"",IF(LEFT(SUBSTITUTE(SUBSTITUTE(SUBSTITUTE(SUBSTITUTE(SUBSTITUTE($D34,".",""),"-","")," ","")," ",""),CHAR(9),""),6)=LEFT(SUBSTITUTE(SUBSTITUTE(SUBSTITUTE(SUBSTITUTE(SUBSTITUTE($G34,".",""),"-","")," ","")," ",""),CHAR(9),""),6),1,0))</f>
        <v>0</v>
      </c>
      <c r="J34" s="21" t="n">
        <f aca="false">IF(OR($D34="",$G34=""),"",IF(SUBSTITUTE(SUBSTITUTE(SUBSTITUTE(SUBSTITUTE(SUBSTITUTE($D34,".",""),"-","")," ","")," ",""),CHAR(9),"")=SUBSTITUTE(SUBSTITUTE(SUBSTITUTE(SUBSTITUTE(SUBSTITUTE($G34,".",""),"-","")," ","")," ",""),CHAR(9),""),1,0))</f>
        <v>0</v>
      </c>
      <c r="K34" s="15" t="s">
        <v>60</v>
      </c>
      <c r="L34" s="15" t="n">
        <v>0</v>
      </c>
      <c r="M34" s="16" t="s">
        <v>321</v>
      </c>
      <c r="N34" s="16"/>
    </row>
  </sheetData>
  <dataValidations count="1">
    <dataValidation allowBlank="true" errorStyle="stop" operator="between" showDropDown="false" showErrorMessage="false" showInputMessage="false" sqref="K5:K34" type="list">
      <formula1>"O,X"</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J15" activeCellId="0" sqref="J15"/>
    </sheetView>
  </sheetViews>
  <sheetFormatPr defaultColWidth="8.714843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8"/>
    <col collapsed="false" customWidth="true" hidden="false" outlineLevel="0" max="7" min="4" style="1" width="13"/>
    <col collapsed="false" customWidth="true" hidden="false" outlineLevel="0" max="10" min="8" style="1" width="11"/>
    <col collapsed="false" customWidth="true" hidden="false" outlineLevel="0" max="11" min="11" style="0" width="11"/>
    <col collapsed="false" customWidth="true" hidden="false" outlineLevel="0" max="12" min="12" style="0" width="44"/>
  </cols>
  <sheetData>
    <row r="1" customFormat="false" ht="19.5" hidden="false" customHeight="true" outlineLevel="0" collapsed="false">
      <c r="A1" s="18" t="s">
        <v>344</v>
      </c>
    </row>
    <row r="2" customFormat="false" ht="15" hidden="false" customHeight="true" outlineLevel="0" collapsed="false">
      <c r="A2" s="30" t="s">
        <v>345</v>
      </c>
    </row>
    <row r="3" customFormat="false" ht="31.5" hidden="false" customHeight="true" outlineLevel="0" collapsed="false">
      <c r="A3" s="19" t="s">
        <v>44</v>
      </c>
      <c r="B3" s="19" t="s">
        <v>346</v>
      </c>
      <c r="C3" s="19" t="s">
        <v>45</v>
      </c>
      <c r="D3" s="19" t="s">
        <v>47</v>
      </c>
      <c r="E3" s="20" t="s">
        <v>347</v>
      </c>
      <c r="F3" s="20" t="s">
        <v>348</v>
      </c>
      <c r="G3" s="20" t="s">
        <v>349</v>
      </c>
      <c r="H3" s="31" t="s">
        <v>350</v>
      </c>
      <c r="I3" s="31" t="s">
        <v>351</v>
      </c>
      <c r="J3" s="32" t="s">
        <v>352</v>
      </c>
      <c r="K3" s="32" t="s">
        <v>353</v>
      </c>
      <c r="L3" s="32" t="s">
        <v>320</v>
      </c>
    </row>
    <row r="4" customFormat="false" ht="15" hidden="false" customHeight="true" outlineLevel="0" collapsed="false">
      <c r="A4" s="21" t="n">
        <v>1</v>
      </c>
      <c r="B4" s="15" t="n">
        <v>6</v>
      </c>
      <c r="C4" s="22" t="str">
        <f aca="false">IF($B4="","",IFERROR(INDEX(케이스목록!$B$5:$B$34,MATCH($B4,케이스목록!$A$5:$A$34,0)),"번호 확인"))</f>
        <v>품목분류3과-3310</v>
      </c>
      <c r="D4" s="13" t="s">
        <v>83</v>
      </c>
      <c r="E4" s="33" t="s">
        <v>216</v>
      </c>
      <c r="F4" s="34" t="s">
        <v>216</v>
      </c>
      <c r="G4" s="34" t="s">
        <v>216</v>
      </c>
      <c r="H4" s="35" t="n">
        <f aca="false">IF(OR($E4="",$F4="",$G4=""),"",IF(AND(LEFT(SUBSTITUTE(SUBSTITUTE(SUBSTITUTE(SUBSTITUTE(SUBSTITUTE($E4,".",""),"-","")," ","")," ",""),CHAR(9),""),6)=LEFT(SUBSTITUTE(SUBSTITUTE(SUBSTITUTE(SUBSTITUTE(SUBSTITUTE($F4,".",""),"-","")," ","")," ",""),CHAR(9),""),6),LEFT(SUBSTITUTE(SUBSTITUTE(SUBSTITUTE(SUBSTITUTE(SUBSTITUTE($F4,".",""),"-","")," ","")," ",""),CHAR(9),""),6)=LEFT(SUBSTITUTE(SUBSTITUTE(SUBSTITUTE(SUBSTITUTE(SUBSTITUTE($G4,".",""),"-","")," ","")," ",""),CHAR(9),""),6)),1,0))</f>
        <v>1</v>
      </c>
      <c r="I4" s="35" t="n">
        <f aca="false">IF(OR($E4="",$F4="",$G4=""),"",IF(AND(SUBSTITUTE(SUBSTITUTE(SUBSTITUTE(SUBSTITUTE(SUBSTITUTE($E4,".",""),"-","")," ","")," ",""),CHAR(9),"")=SUBSTITUTE(SUBSTITUTE(SUBSTITUTE(SUBSTITUTE(SUBSTITUTE($F4,".",""),"-","")," ","")," ",""),CHAR(9),""),SUBSTITUTE(SUBSTITUTE(SUBSTITUTE(SUBSTITUTE(SUBSTITUTE($F4,".",""),"-","")," ","")," ",""),CHAR(9),"")=SUBSTITUTE(SUBSTITUTE(SUBSTITUTE(SUBSTITUTE(SUBSTITUTE($G4,".",""),"-","")," ","")," ",""),CHAR(9),"")),1,0))</f>
        <v>1</v>
      </c>
      <c r="J4" s="35" t="n">
        <f aca="false">IF(OR($D4="",$E4=""),"",IF(LEFT(SUBSTITUTE(SUBSTITUTE(SUBSTITUTE(SUBSTITUTE(SUBSTITUTE($E4,".",""),"-","")," ","")," ",""),CHAR(9),""),6)=LEFT(SUBSTITUTE(SUBSTITUTE(SUBSTITUTE(SUBSTITUTE(SUBSTITUTE($D4,".",""),"-","")," ","")," ",""),CHAR(9),""),6),1,0)+IF(LEFT(SUBSTITUTE(SUBSTITUTE(SUBSTITUTE(SUBSTITUTE(SUBSTITUTE($F4,".",""),"-","")," ","")," ",""),CHAR(9),""),6)=LEFT(SUBSTITUTE(SUBSTITUTE(SUBSTITUTE(SUBSTITUTE(SUBSTITUTE($D4,".",""),"-","")," ","")," ",""),CHAR(9),""),6),1,0)+IF(LEFT(SUBSTITUTE(SUBSTITUTE(SUBSTITUTE(SUBSTITUTE(SUBSTITUTE($G4,".",""),"-","")," ","")," ",""),CHAR(9),""),6)=LEFT(SUBSTITUTE(SUBSTITUTE(SUBSTITUTE(SUBSTITUTE(SUBSTITUTE($D4,".",""),"-","")," ","")," ",""),CHAR(9),""),6),1,0))</f>
        <v>3</v>
      </c>
      <c r="K4" s="35" t="n">
        <f aca="false">IF(OR($D4="",$E4=""),"",IF(SUBSTITUTE(SUBSTITUTE(SUBSTITUTE(SUBSTITUTE(SUBSTITUTE($E4,".",""),"-","")," ","")," ",""),CHAR(9),"")=SUBSTITUTE(SUBSTITUTE(SUBSTITUTE(SUBSTITUTE(SUBSTITUTE($D4,".",""),"-","")," ","")," ",""),CHAR(9),""),1,0)+IF(SUBSTITUTE(SUBSTITUTE(SUBSTITUTE(SUBSTITUTE(SUBSTITUTE($F4,".",""),"-","")," ","")," ",""),CHAR(9),"")=SUBSTITUTE(SUBSTITUTE(SUBSTITUTE(SUBSTITUTE(SUBSTITUTE($D4,".",""),"-","")," ","")," ",""),CHAR(9),""),1,0)+IF(SUBSTITUTE(SUBSTITUTE(SUBSTITUTE(SUBSTITUTE(SUBSTITUTE($G4,".",""),"-","")," ","")," ",""),CHAR(9),"")=SUBSTITUTE(SUBSTITUTE(SUBSTITUTE(SUBSTITUTE(SUBSTITUTE($D4,".",""),"-","")," ","")," ",""),CHAR(9),""),1,0))</f>
        <v>3</v>
      </c>
      <c r="L4" s="36"/>
    </row>
    <row r="5" customFormat="false" ht="15" hidden="false" customHeight="true" outlineLevel="0" collapsed="false">
      <c r="A5" s="21" t="n">
        <v>2</v>
      </c>
      <c r="B5" s="15" t="n">
        <v>8</v>
      </c>
      <c r="C5" s="22" t="str">
        <f aca="false">IF($B5="","",IFERROR(INDEX(케이스목록!$B$5:$B$34,MATCH($B5,케이스목록!$A$5:$A$34,0)),"번호 확인"))</f>
        <v>품목분류4과-1253</v>
      </c>
      <c r="D5" s="13" t="s">
        <v>91</v>
      </c>
      <c r="E5" s="34" t="s">
        <v>222</v>
      </c>
      <c r="F5" s="34" t="s">
        <v>222</v>
      </c>
      <c r="G5" s="34" t="s">
        <v>222</v>
      </c>
      <c r="H5" s="35" t="n">
        <f aca="false">IF(OR($E5="",$F5="",$G5=""),"",IF(AND(LEFT(SUBSTITUTE(SUBSTITUTE(SUBSTITUTE(SUBSTITUTE(SUBSTITUTE($E5,".",""),"-","")," ","")," ",""),CHAR(9),""),6)=LEFT(SUBSTITUTE(SUBSTITUTE(SUBSTITUTE(SUBSTITUTE(SUBSTITUTE($F5,".",""),"-","")," ","")," ",""),CHAR(9),""),6),LEFT(SUBSTITUTE(SUBSTITUTE(SUBSTITUTE(SUBSTITUTE(SUBSTITUTE($F5,".",""),"-","")," ","")," ",""),CHAR(9),""),6)=LEFT(SUBSTITUTE(SUBSTITUTE(SUBSTITUTE(SUBSTITUTE(SUBSTITUTE($G5,".",""),"-","")," ","")," ",""),CHAR(9),""),6)),1,0))</f>
        <v>1</v>
      </c>
      <c r="I5" s="35" t="n">
        <f aca="false">IF(OR($E5="",$F5="",$G5=""),"",IF(AND(SUBSTITUTE(SUBSTITUTE(SUBSTITUTE(SUBSTITUTE(SUBSTITUTE($E5,".",""),"-","")," ","")," ",""),CHAR(9),"")=SUBSTITUTE(SUBSTITUTE(SUBSTITUTE(SUBSTITUTE(SUBSTITUTE($F5,".",""),"-","")," ","")," ",""),CHAR(9),""),SUBSTITUTE(SUBSTITUTE(SUBSTITUTE(SUBSTITUTE(SUBSTITUTE($F5,".",""),"-","")," ","")," ",""),CHAR(9),"")=SUBSTITUTE(SUBSTITUTE(SUBSTITUTE(SUBSTITUTE(SUBSTITUTE($G5,".",""),"-","")," ","")," ",""),CHAR(9),"")),1,0))</f>
        <v>1</v>
      </c>
      <c r="J5" s="35" t="n">
        <f aca="false">IF(OR($D5="",$E5=""),"",IF(LEFT(SUBSTITUTE(SUBSTITUTE(SUBSTITUTE(SUBSTITUTE(SUBSTITUTE($E5,".",""),"-","")," ","")," ",""),CHAR(9),""),6)=LEFT(SUBSTITUTE(SUBSTITUTE(SUBSTITUTE(SUBSTITUTE(SUBSTITUTE($D5,".",""),"-","")," ","")," ",""),CHAR(9),""),6),1,0)+IF(LEFT(SUBSTITUTE(SUBSTITUTE(SUBSTITUTE(SUBSTITUTE(SUBSTITUTE($F5,".",""),"-","")," ","")," ",""),CHAR(9),""),6)=LEFT(SUBSTITUTE(SUBSTITUTE(SUBSTITUTE(SUBSTITUTE(SUBSTITUTE($D5,".",""),"-","")," ","")," ",""),CHAR(9),""),6),1,0)+IF(LEFT(SUBSTITUTE(SUBSTITUTE(SUBSTITUTE(SUBSTITUTE(SUBSTITUTE($G5,".",""),"-","")," ","")," ",""),CHAR(9),""),6)=LEFT(SUBSTITUTE(SUBSTITUTE(SUBSTITUTE(SUBSTITUTE(SUBSTITUTE($D5,".",""),"-","")," ","")," ",""),CHAR(9),""),6),1,0))</f>
        <v>3</v>
      </c>
      <c r="K5" s="35" t="n">
        <f aca="false">IF(OR($D5="",$E5=""),"",IF(SUBSTITUTE(SUBSTITUTE(SUBSTITUTE(SUBSTITUTE(SUBSTITUTE($E5,".",""),"-","")," ","")," ",""),CHAR(9),"")=SUBSTITUTE(SUBSTITUTE(SUBSTITUTE(SUBSTITUTE(SUBSTITUTE($D5,".",""),"-","")," ","")," ",""),CHAR(9),""),1,0)+IF(SUBSTITUTE(SUBSTITUTE(SUBSTITUTE(SUBSTITUTE(SUBSTITUTE($F5,".",""),"-","")," ","")," ",""),CHAR(9),"")=SUBSTITUTE(SUBSTITUTE(SUBSTITUTE(SUBSTITUTE(SUBSTITUTE($D5,".",""),"-","")," ","")," ",""),CHAR(9),""),1,0)+IF(SUBSTITUTE(SUBSTITUTE(SUBSTITUTE(SUBSTITUTE(SUBSTITUTE($G5,".",""),"-","")," ","")," ",""),CHAR(9),"")=SUBSTITUTE(SUBSTITUTE(SUBSTITUTE(SUBSTITUTE(SUBSTITUTE($D5,".",""),"-","")," ","")," ",""),CHAR(9),""),1,0))</f>
        <v>3</v>
      </c>
      <c r="L5" s="36"/>
    </row>
    <row r="6" customFormat="false" ht="15" hidden="false" customHeight="true" outlineLevel="0" collapsed="false">
      <c r="A6" s="21" t="n">
        <v>3</v>
      </c>
      <c r="B6" s="15" t="n">
        <v>9</v>
      </c>
      <c r="C6" s="22" t="str">
        <f aca="false">IF($B6="","",IFERROR(INDEX(케이스목록!$B$5:$B$34,MATCH($B6,케이스목록!$A$5:$A$34,0)),"번호 확인"))</f>
        <v>품목분류4과-1933</v>
      </c>
      <c r="D6" s="13" t="s">
        <v>95</v>
      </c>
      <c r="E6" s="34" t="s">
        <v>225</v>
      </c>
      <c r="F6" s="34" t="s">
        <v>225</v>
      </c>
      <c r="G6" s="34" t="s">
        <v>225</v>
      </c>
      <c r="H6" s="35" t="n">
        <f aca="false">IF(OR($E6="",$F6="",$G6=""),"",IF(AND(LEFT(SUBSTITUTE(SUBSTITUTE(SUBSTITUTE(SUBSTITUTE(SUBSTITUTE($E6,".",""),"-","")," ","")," ",""),CHAR(9),""),6)=LEFT(SUBSTITUTE(SUBSTITUTE(SUBSTITUTE(SUBSTITUTE(SUBSTITUTE($F6,".",""),"-","")," ","")," ",""),CHAR(9),""),6),LEFT(SUBSTITUTE(SUBSTITUTE(SUBSTITUTE(SUBSTITUTE(SUBSTITUTE($F6,".",""),"-","")," ","")," ",""),CHAR(9),""),6)=LEFT(SUBSTITUTE(SUBSTITUTE(SUBSTITUTE(SUBSTITUTE(SUBSTITUTE($G6,".",""),"-","")," ","")," ",""),CHAR(9),""),6)),1,0))</f>
        <v>1</v>
      </c>
      <c r="I6" s="35" t="n">
        <f aca="false">IF(OR($E6="",$F6="",$G6=""),"",IF(AND(SUBSTITUTE(SUBSTITUTE(SUBSTITUTE(SUBSTITUTE(SUBSTITUTE($E6,".",""),"-","")," ","")," ",""),CHAR(9),"")=SUBSTITUTE(SUBSTITUTE(SUBSTITUTE(SUBSTITUTE(SUBSTITUTE($F6,".",""),"-","")," ","")," ",""),CHAR(9),""),SUBSTITUTE(SUBSTITUTE(SUBSTITUTE(SUBSTITUTE(SUBSTITUTE($F6,".",""),"-","")," ","")," ",""),CHAR(9),"")=SUBSTITUTE(SUBSTITUTE(SUBSTITUTE(SUBSTITUTE(SUBSTITUTE($G6,".",""),"-","")," ","")," ",""),CHAR(9),"")),1,0))</f>
        <v>1</v>
      </c>
      <c r="J6" s="35" t="n">
        <f aca="false">IF(OR($D6="",$E6=""),"",IF(LEFT(SUBSTITUTE(SUBSTITUTE(SUBSTITUTE(SUBSTITUTE(SUBSTITUTE($E6,".",""),"-","")," ","")," ",""),CHAR(9),""),6)=LEFT(SUBSTITUTE(SUBSTITUTE(SUBSTITUTE(SUBSTITUTE(SUBSTITUTE($D6,".",""),"-","")," ","")," ",""),CHAR(9),""),6),1,0)+IF(LEFT(SUBSTITUTE(SUBSTITUTE(SUBSTITUTE(SUBSTITUTE(SUBSTITUTE($F6,".",""),"-","")," ","")," ",""),CHAR(9),""),6)=LEFT(SUBSTITUTE(SUBSTITUTE(SUBSTITUTE(SUBSTITUTE(SUBSTITUTE($D6,".",""),"-","")," ","")," ",""),CHAR(9),""),6),1,0)+IF(LEFT(SUBSTITUTE(SUBSTITUTE(SUBSTITUTE(SUBSTITUTE(SUBSTITUTE($G6,".",""),"-","")," ","")," ",""),CHAR(9),""),6)=LEFT(SUBSTITUTE(SUBSTITUTE(SUBSTITUTE(SUBSTITUTE(SUBSTITUTE($D6,".",""),"-","")," ","")," ",""),CHAR(9),""),6),1,0))</f>
        <v>3</v>
      </c>
      <c r="K6" s="35" t="n">
        <f aca="false">IF(OR($D6="",$E6=""),"",IF(SUBSTITUTE(SUBSTITUTE(SUBSTITUTE(SUBSTITUTE(SUBSTITUTE($E6,".",""),"-","")," ","")," ",""),CHAR(9),"")=SUBSTITUTE(SUBSTITUTE(SUBSTITUTE(SUBSTITUTE(SUBSTITUTE($D6,".",""),"-","")," ","")," ",""),CHAR(9),""),1,0)+IF(SUBSTITUTE(SUBSTITUTE(SUBSTITUTE(SUBSTITUTE(SUBSTITUTE($F6,".",""),"-","")," ","")," ",""),CHAR(9),"")=SUBSTITUTE(SUBSTITUTE(SUBSTITUTE(SUBSTITUTE(SUBSTITUTE($D6,".",""),"-","")," ","")," ",""),CHAR(9),""),1,0)+IF(SUBSTITUTE(SUBSTITUTE(SUBSTITUTE(SUBSTITUTE(SUBSTITUTE($G6,".",""),"-","")," ","")," ",""),CHAR(9),"")=SUBSTITUTE(SUBSTITUTE(SUBSTITUTE(SUBSTITUTE(SUBSTITUTE($D6,".",""),"-","")," ","")," ",""),CHAR(9),""),1,0))</f>
        <v>3</v>
      </c>
      <c r="L6" s="36"/>
    </row>
    <row r="7" customFormat="false" ht="15" hidden="false" customHeight="true" outlineLevel="0" collapsed="false">
      <c r="A7" s="21" t="n">
        <v>4</v>
      </c>
      <c r="B7" s="15" t="n">
        <v>28</v>
      </c>
      <c r="C7" s="22" t="str">
        <f aca="false">IF($B7="","",IFERROR(INDEX(케이스목록!$B$5:$B$34,MATCH($B7,케이스목록!$A$5:$A$34,0)),"번호 확인"))</f>
        <v>품목분류3과-200</v>
      </c>
      <c r="D7" s="13" t="s">
        <v>171</v>
      </c>
      <c r="E7" s="34" t="s">
        <v>354</v>
      </c>
      <c r="F7" s="34" t="s">
        <v>355</v>
      </c>
      <c r="G7" s="34" t="s">
        <v>298</v>
      </c>
      <c r="H7" s="35" t="n">
        <f aca="false">IF(OR($E7="",$F7="",$G7=""),"",IF(AND(LEFT(SUBSTITUTE(SUBSTITUTE(SUBSTITUTE(SUBSTITUTE(SUBSTITUTE($E7,".",""),"-","")," ","")," ",""),CHAR(9),""),6)=LEFT(SUBSTITUTE(SUBSTITUTE(SUBSTITUTE(SUBSTITUTE(SUBSTITUTE($F7,".",""),"-","")," ","")," ",""),CHAR(9),""),6),LEFT(SUBSTITUTE(SUBSTITUTE(SUBSTITUTE(SUBSTITUTE(SUBSTITUTE($F7,".",""),"-","")," ","")," ",""),CHAR(9),""),6)=LEFT(SUBSTITUTE(SUBSTITUTE(SUBSTITUTE(SUBSTITUTE(SUBSTITUTE($G7,".",""),"-","")," ","")," ",""),CHAR(9),""),6)),1,0))</f>
        <v>1</v>
      </c>
      <c r="I7" s="35" t="n">
        <f aca="false">IF(OR($E7="",$F7="",$G7=""),"",IF(AND(SUBSTITUTE(SUBSTITUTE(SUBSTITUTE(SUBSTITUTE(SUBSTITUTE($E7,".",""),"-","")," ","")," ",""),CHAR(9),"")=SUBSTITUTE(SUBSTITUTE(SUBSTITUTE(SUBSTITUTE(SUBSTITUTE($F7,".",""),"-","")," ","")," ",""),CHAR(9),""),SUBSTITUTE(SUBSTITUTE(SUBSTITUTE(SUBSTITUTE(SUBSTITUTE($F7,".",""),"-","")," ","")," ",""),CHAR(9),"")=SUBSTITUTE(SUBSTITUTE(SUBSTITUTE(SUBSTITUTE(SUBSTITUTE($G7,".",""),"-","")," ","")," ",""),CHAR(9),"")),1,0))</f>
        <v>0</v>
      </c>
      <c r="J7" s="35" t="n">
        <f aca="false">IF(OR($D7="",$E7=""),"",IF(LEFT(SUBSTITUTE(SUBSTITUTE(SUBSTITUTE(SUBSTITUTE(SUBSTITUTE($E7,".",""),"-","")," ","")," ",""),CHAR(9),""),6)=LEFT(SUBSTITUTE(SUBSTITUTE(SUBSTITUTE(SUBSTITUTE(SUBSTITUTE($D7,".",""),"-","")," ","")," ",""),CHAR(9),""),6),1,0)+IF(LEFT(SUBSTITUTE(SUBSTITUTE(SUBSTITUTE(SUBSTITUTE(SUBSTITUTE($F7,".",""),"-","")," ","")," ",""),CHAR(9),""),6)=LEFT(SUBSTITUTE(SUBSTITUTE(SUBSTITUTE(SUBSTITUTE(SUBSTITUTE($D7,".",""),"-","")," ","")," ",""),CHAR(9),""),6),1,0)+IF(LEFT(SUBSTITUTE(SUBSTITUTE(SUBSTITUTE(SUBSTITUTE(SUBSTITUTE($G7,".",""),"-","")," ","")," ",""),CHAR(9),""),6)=LEFT(SUBSTITUTE(SUBSTITUTE(SUBSTITUTE(SUBSTITUTE(SUBSTITUTE($D7,".",""),"-","")," ","")," ",""),CHAR(9),""),6),1,0))</f>
        <v>3</v>
      </c>
      <c r="K7" s="35" t="n">
        <f aca="false">IF(OR($D7="",$E7=""),"",IF(SUBSTITUTE(SUBSTITUTE(SUBSTITUTE(SUBSTITUTE(SUBSTITUTE($E7,".",""),"-","")," ","")," ",""),CHAR(9),"")=SUBSTITUTE(SUBSTITUTE(SUBSTITUTE(SUBSTITUTE(SUBSTITUTE($D7,".",""),"-","")," ","")," ",""),CHAR(9),""),1,0)+IF(SUBSTITUTE(SUBSTITUTE(SUBSTITUTE(SUBSTITUTE(SUBSTITUTE($F7,".",""),"-","")," ","")," ",""),CHAR(9),"")=SUBSTITUTE(SUBSTITUTE(SUBSTITUTE(SUBSTITUTE(SUBSTITUTE($D7,".",""),"-","")," ","")," ",""),CHAR(9),""),1,0)+IF(SUBSTITUTE(SUBSTITUTE(SUBSTITUTE(SUBSTITUTE(SUBSTITUTE($G7,".",""),"-","")," ","")," ",""),CHAR(9),"")=SUBSTITUTE(SUBSTITUTE(SUBSTITUTE(SUBSTITUTE(SUBSTITUTE($D7,".",""),"-","")," ","")," ",""),CHAR(9),""),1,0))</f>
        <v>1</v>
      </c>
      <c r="L7" s="36" t="s">
        <v>356</v>
      </c>
    </row>
    <row r="8" customFormat="false" ht="15" hidden="false" customHeight="true" outlineLevel="0" collapsed="false">
      <c r="A8" s="21" t="n">
        <v>5</v>
      </c>
      <c r="B8" s="15" t="n">
        <v>29</v>
      </c>
      <c r="C8" s="22" t="str">
        <f aca="false">IF($B8="","",IFERROR(INDEX(케이스목록!$B$5:$B$34,MATCH($B8,케이스목록!$A$5:$A$34,0)),"번호 확인"))</f>
        <v> 품목분류2과-267</v>
      </c>
      <c r="D8" s="13" t="s">
        <v>175</v>
      </c>
      <c r="E8" s="34" t="s">
        <v>357</v>
      </c>
      <c r="F8" s="34" t="s">
        <v>358</v>
      </c>
      <c r="G8" s="34" t="s">
        <v>357</v>
      </c>
      <c r="H8" s="35" t="n">
        <f aca="false">IF(OR($E8="",$F8="",$G8=""),"",IF(AND(LEFT(SUBSTITUTE(SUBSTITUTE(SUBSTITUTE(SUBSTITUTE(SUBSTITUTE($E8,".",""),"-","")," ","")," ",""),CHAR(9),""),6)=LEFT(SUBSTITUTE(SUBSTITUTE(SUBSTITUTE(SUBSTITUTE(SUBSTITUTE($F8,".",""),"-","")," ","")," ",""),CHAR(9),""),6),LEFT(SUBSTITUTE(SUBSTITUTE(SUBSTITUTE(SUBSTITUTE(SUBSTITUTE($F8,".",""),"-","")," ","")," ",""),CHAR(9),""),6)=LEFT(SUBSTITUTE(SUBSTITUTE(SUBSTITUTE(SUBSTITUTE(SUBSTITUTE($G8,".",""),"-","")," ","")," ",""),CHAR(9),""),6)),1,0))</f>
        <v>1</v>
      </c>
      <c r="I8" s="35" t="n">
        <f aca="false">IF(OR($E8="",$F8="",$G8=""),"",IF(AND(SUBSTITUTE(SUBSTITUTE(SUBSTITUTE(SUBSTITUTE(SUBSTITUTE($E8,".",""),"-","")," ","")," ",""),CHAR(9),"")=SUBSTITUTE(SUBSTITUTE(SUBSTITUTE(SUBSTITUTE(SUBSTITUTE($F8,".",""),"-","")," ","")," ",""),CHAR(9),""),SUBSTITUTE(SUBSTITUTE(SUBSTITUTE(SUBSTITUTE(SUBSTITUTE($F8,".",""),"-","")," ","")," ",""),CHAR(9),"")=SUBSTITUTE(SUBSTITUTE(SUBSTITUTE(SUBSTITUTE(SUBSTITUTE($G8,".",""),"-","")," ","")," ",""),CHAR(9),"")),1,0))</f>
        <v>0</v>
      </c>
      <c r="J8" s="35" t="n">
        <f aca="false">IF(OR($D8="",$E8=""),"",IF(LEFT(SUBSTITUTE(SUBSTITUTE(SUBSTITUTE(SUBSTITUTE(SUBSTITUTE($E8,".",""),"-","")," ","")," ",""),CHAR(9),""),6)=LEFT(SUBSTITUTE(SUBSTITUTE(SUBSTITUTE(SUBSTITUTE(SUBSTITUTE($D8,".",""),"-","")," ","")," ",""),CHAR(9),""),6),1,0)+IF(LEFT(SUBSTITUTE(SUBSTITUTE(SUBSTITUTE(SUBSTITUTE(SUBSTITUTE($F8,".",""),"-","")," ","")," ",""),CHAR(9),""),6)=LEFT(SUBSTITUTE(SUBSTITUTE(SUBSTITUTE(SUBSTITUTE(SUBSTITUTE($D8,".",""),"-","")," ","")," ",""),CHAR(9),""),6),1,0)+IF(LEFT(SUBSTITUTE(SUBSTITUTE(SUBSTITUTE(SUBSTITUTE(SUBSTITUTE($G8,".",""),"-","")," ","")," ",""),CHAR(9),""),6)=LEFT(SUBSTITUTE(SUBSTITUTE(SUBSTITUTE(SUBSTITUTE(SUBSTITUTE($D8,".",""),"-","")," ","")," ",""),CHAR(9),""),6),1,0))</f>
        <v>3</v>
      </c>
      <c r="K8" s="35" t="n">
        <f aca="false">IF(OR($D8="",$E8=""),"",IF(SUBSTITUTE(SUBSTITUTE(SUBSTITUTE(SUBSTITUTE(SUBSTITUTE($E8,".",""),"-","")," ","")," ",""),CHAR(9),"")=SUBSTITUTE(SUBSTITUTE(SUBSTITUTE(SUBSTITUTE(SUBSTITUTE($D8,".",""),"-","")," ","")," ",""),CHAR(9),""),1,0)+IF(SUBSTITUTE(SUBSTITUTE(SUBSTITUTE(SUBSTITUTE(SUBSTITUTE($F8,".",""),"-","")," ","")," ",""),CHAR(9),"")=SUBSTITUTE(SUBSTITUTE(SUBSTITUTE(SUBSTITUTE(SUBSTITUTE($D8,".",""),"-","")," ","")," ",""),CHAR(9),""),1,0)+IF(SUBSTITUTE(SUBSTITUTE(SUBSTITUTE(SUBSTITUTE(SUBSTITUTE($G8,".",""),"-","")," ","")," ",""),CHAR(9),"")=SUBSTITUTE(SUBSTITUTE(SUBSTITUTE(SUBSTITUTE(SUBSTITUTE($D8,".",""),"-","")," ","")," ",""),CHAR(9),""),1,0))</f>
        <v>0</v>
      </c>
      <c r="L8" s="36" t="s">
        <v>359</v>
      </c>
    </row>
    <row r="9" customFormat="false" ht="15" hidden="false" customHeight="true" outlineLevel="0" collapsed="false">
      <c r="A9" s="21" t="n">
        <v>6</v>
      </c>
      <c r="B9" s="15" t="n">
        <v>2</v>
      </c>
      <c r="C9" s="22" t="str">
        <f aca="false">IF($B9="","",IFERROR(INDEX(케이스목록!$B$5:$B$34,MATCH($B9,케이스목록!$A$5:$A$34,0)),"번호 확인"))</f>
        <v>품목분류2과-4144</v>
      </c>
      <c r="D9" s="13" t="s">
        <v>64</v>
      </c>
      <c r="E9" s="34" t="s">
        <v>201</v>
      </c>
      <c r="F9" s="34" t="s">
        <v>201</v>
      </c>
      <c r="G9" s="34" t="s">
        <v>201</v>
      </c>
      <c r="H9" s="35" t="n">
        <f aca="false">IF(OR($E9="",$F9="",$G9=""),"",IF(AND(LEFT(SUBSTITUTE(SUBSTITUTE(SUBSTITUTE(SUBSTITUTE(SUBSTITUTE($E9,".",""),"-","")," ","")," ",""),CHAR(9),""),6)=LEFT(SUBSTITUTE(SUBSTITUTE(SUBSTITUTE(SUBSTITUTE(SUBSTITUTE($F9,".",""),"-","")," ","")," ",""),CHAR(9),""),6),LEFT(SUBSTITUTE(SUBSTITUTE(SUBSTITUTE(SUBSTITUTE(SUBSTITUTE($F9,".",""),"-","")," ","")," ",""),CHAR(9),""),6)=LEFT(SUBSTITUTE(SUBSTITUTE(SUBSTITUTE(SUBSTITUTE(SUBSTITUTE($G9,".",""),"-","")," ","")," ",""),CHAR(9),""),6)),1,0))</f>
        <v>1</v>
      </c>
      <c r="I9" s="35" t="n">
        <f aca="false">IF(OR($E9="",$F9="",$G9=""),"",IF(AND(SUBSTITUTE(SUBSTITUTE(SUBSTITUTE(SUBSTITUTE(SUBSTITUTE($E9,".",""),"-","")," ","")," ",""),CHAR(9),"")=SUBSTITUTE(SUBSTITUTE(SUBSTITUTE(SUBSTITUTE(SUBSTITUTE($F9,".",""),"-","")," ","")," ",""),CHAR(9),""),SUBSTITUTE(SUBSTITUTE(SUBSTITUTE(SUBSTITUTE(SUBSTITUTE($F9,".",""),"-","")," ","")," ",""),CHAR(9),"")=SUBSTITUTE(SUBSTITUTE(SUBSTITUTE(SUBSTITUTE(SUBSTITUTE($G9,".",""),"-","")," ","")," ",""),CHAR(9),"")),1,0))</f>
        <v>1</v>
      </c>
      <c r="J9" s="35" t="n">
        <f aca="false">IF(OR($D9="",$E9=""),"",IF(LEFT(SUBSTITUTE(SUBSTITUTE(SUBSTITUTE(SUBSTITUTE(SUBSTITUTE($E9,".",""),"-","")," ","")," ",""),CHAR(9),""),6)=LEFT(SUBSTITUTE(SUBSTITUTE(SUBSTITUTE(SUBSTITUTE(SUBSTITUTE($D9,".",""),"-","")," ","")," ",""),CHAR(9),""),6),1,0)+IF(LEFT(SUBSTITUTE(SUBSTITUTE(SUBSTITUTE(SUBSTITUTE(SUBSTITUTE($F9,".",""),"-","")," ","")," ",""),CHAR(9),""),6)=LEFT(SUBSTITUTE(SUBSTITUTE(SUBSTITUTE(SUBSTITUTE(SUBSTITUTE($D9,".",""),"-","")," ","")," ",""),CHAR(9),""),6),1,0)+IF(LEFT(SUBSTITUTE(SUBSTITUTE(SUBSTITUTE(SUBSTITUTE(SUBSTITUTE($G9,".",""),"-","")," ","")," ",""),CHAR(9),""),6)=LEFT(SUBSTITUTE(SUBSTITUTE(SUBSTITUTE(SUBSTITUTE(SUBSTITUTE($D9,".",""),"-","")," ","")," ",""),CHAR(9),""),6),1,0))</f>
        <v>0</v>
      </c>
      <c r="K9" s="35" t="n">
        <f aca="false">IF(OR($D9="",$E9=""),"",IF(SUBSTITUTE(SUBSTITUTE(SUBSTITUTE(SUBSTITUTE(SUBSTITUTE($E9,".",""),"-","")," ","")," ",""),CHAR(9),"")=SUBSTITUTE(SUBSTITUTE(SUBSTITUTE(SUBSTITUTE(SUBSTITUTE($D9,".",""),"-","")," ","")," ",""),CHAR(9),""),1,0)+IF(SUBSTITUTE(SUBSTITUTE(SUBSTITUTE(SUBSTITUTE(SUBSTITUTE($F9,".",""),"-","")," ","")," ",""),CHAR(9),"")=SUBSTITUTE(SUBSTITUTE(SUBSTITUTE(SUBSTITUTE(SUBSTITUTE($D9,".",""),"-","")," ","")," ",""),CHAR(9),""),1,0)+IF(SUBSTITUTE(SUBSTITUTE(SUBSTITUTE(SUBSTITUTE(SUBSTITUTE($G9,".",""),"-","")," ","")," ",""),CHAR(9),"")=SUBSTITUTE(SUBSTITUTE(SUBSTITUTE(SUBSTITUTE(SUBSTITUTE($D9,".",""),"-","")," ","")," ",""),CHAR(9),""),1,0))</f>
        <v>0</v>
      </c>
      <c r="L9" s="36" t="s">
        <v>360</v>
      </c>
    </row>
    <row r="10" customFormat="false" ht="15" hidden="false" customHeight="true" outlineLevel="0" collapsed="false">
      <c r="A10" s="21" t="n">
        <v>7</v>
      </c>
      <c r="B10" s="15" t="n">
        <v>12</v>
      </c>
      <c r="C10" s="22" t="str">
        <f aca="false">IF($B10="","",IFERROR(INDEX(케이스목록!$B$5:$B$34,MATCH($B10,케이스목록!$A$5:$A$34,0)),"번호 확인"))</f>
        <v>품목분류2과-1460</v>
      </c>
      <c r="D10" s="13" t="s">
        <v>107</v>
      </c>
      <c r="E10" s="34" t="s">
        <v>361</v>
      </c>
      <c r="F10" s="34" t="s">
        <v>234</v>
      </c>
      <c r="G10" s="34" t="s">
        <v>362</v>
      </c>
      <c r="H10" s="35" t="n">
        <f aca="false">IF(OR($E10="",$F10="",$G10=""),"",IF(AND(LEFT(SUBSTITUTE(SUBSTITUTE(SUBSTITUTE(SUBSTITUTE(SUBSTITUTE($E10,".",""),"-","")," ","")," ",""),CHAR(9),""),6)=LEFT(SUBSTITUTE(SUBSTITUTE(SUBSTITUTE(SUBSTITUTE(SUBSTITUTE($F10,".",""),"-","")," ","")," ",""),CHAR(9),""),6),LEFT(SUBSTITUTE(SUBSTITUTE(SUBSTITUTE(SUBSTITUTE(SUBSTITUTE($F10,".",""),"-","")," ","")," ",""),CHAR(9),""),6)=LEFT(SUBSTITUTE(SUBSTITUTE(SUBSTITUTE(SUBSTITUTE(SUBSTITUTE($G10,".",""),"-","")," ","")," ",""),CHAR(9),""),6)),1,0))</f>
        <v>0</v>
      </c>
      <c r="I10" s="35" t="n">
        <f aca="false">IF(OR($E10="",$F10="",$G10=""),"",IF(AND(SUBSTITUTE(SUBSTITUTE(SUBSTITUTE(SUBSTITUTE(SUBSTITUTE($E10,".",""),"-","")," ","")," ",""),CHAR(9),"")=SUBSTITUTE(SUBSTITUTE(SUBSTITUTE(SUBSTITUTE(SUBSTITUTE($F10,".",""),"-","")," ","")," ",""),CHAR(9),""),SUBSTITUTE(SUBSTITUTE(SUBSTITUTE(SUBSTITUTE(SUBSTITUTE($F10,".",""),"-","")," ","")," ",""),CHAR(9),"")=SUBSTITUTE(SUBSTITUTE(SUBSTITUTE(SUBSTITUTE(SUBSTITUTE($G10,".",""),"-","")," ","")," ",""),CHAR(9),"")),1,0))</f>
        <v>0</v>
      </c>
      <c r="J10" s="35" t="n">
        <f aca="false">IF(OR($D10="",$E10=""),"",IF(LEFT(SUBSTITUTE(SUBSTITUTE(SUBSTITUTE(SUBSTITUTE(SUBSTITUTE($E10,".",""),"-","")," ","")," ",""),CHAR(9),""),6)=LEFT(SUBSTITUTE(SUBSTITUTE(SUBSTITUTE(SUBSTITUTE(SUBSTITUTE($D10,".",""),"-","")," ","")," ",""),CHAR(9),""),6),1,0)+IF(LEFT(SUBSTITUTE(SUBSTITUTE(SUBSTITUTE(SUBSTITUTE(SUBSTITUTE($F10,".",""),"-","")," ","")," ",""),CHAR(9),""),6)=LEFT(SUBSTITUTE(SUBSTITUTE(SUBSTITUTE(SUBSTITUTE(SUBSTITUTE($D10,".",""),"-","")," ","")," ",""),CHAR(9),""),6),1,0)+IF(LEFT(SUBSTITUTE(SUBSTITUTE(SUBSTITUTE(SUBSTITUTE(SUBSTITUTE($G10,".",""),"-","")," ","")," ",""),CHAR(9),""),6)=LEFT(SUBSTITUTE(SUBSTITUTE(SUBSTITUTE(SUBSTITUTE(SUBSTITUTE($D10,".",""),"-","")," ","")," ",""),CHAR(9),""),6),1,0))</f>
        <v>1</v>
      </c>
      <c r="K10" s="35" t="n">
        <f aca="false">IF(OR($D10="",$E10=""),"",IF(SUBSTITUTE(SUBSTITUTE(SUBSTITUTE(SUBSTITUTE(SUBSTITUTE($E10,".",""),"-","")," ","")," ",""),CHAR(9),"")=SUBSTITUTE(SUBSTITUTE(SUBSTITUTE(SUBSTITUTE(SUBSTITUTE($D10,".",""),"-","")," ","")," ",""),CHAR(9),""),1,0)+IF(SUBSTITUTE(SUBSTITUTE(SUBSTITUTE(SUBSTITUTE(SUBSTITUTE($F10,".",""),"-","")," ","")," ",""),CHAR(9),"")=SUBSTITUTE(SUBSTITUTE(SUBSTITUTE(SUBSTITUTE(SUBSTITUTE($D10,".",""),"-","")," ","")," ",""),CHAR(9),""),1,0)+IF(SUBSTITUTE(SUBSTITUTE(SUBSTITUTE(SUBSTITUTE(SUBSTITUTE($G10,".",""),"-","")," ","")," ",""),CHAR(9),"")=SUBSTITUTE(SUBSTITUTE(SUBSTITUTE(SUBSTITUTE(SUBSTITUTE($D10,".",""),"-","")," ","")," ",""),CHAR(9),""),1,0))</f>
        <v>0</v>
      </c>
      <c r="L10" s="36"/>
    </row>
    <row r="11" customFormat="false" ht="15" hidden="false" customHeight="true" outlineLevel="0" collapsed="false">
      <c r="A11" s="21" t="n">
        <v>8</v>
      </c>
      <c r="B11" s="15" t="n">
        <v>15</v>
      </c>
      <c r="C11" s="22" t="str">
        <f aca="false">IF($B11="","",IFERROR(INDEX(케이스목록!$B$5:$B$34,MATCH($B11,케이스목록!$A$5:$A$34,0)),"번호 확인"))</f>
        <v>품목분류2과-1011</v>
      </c>
      <c r="D11" s="13" t="s">
        <v>119</v>
      </c>
      <c r="E11" s="34" t="s">
        <v>247</v>
      </c>
      <c r="F11" s="34" t="s">
        <v>246</v>
      </c>
      <c r="G11" s="34" t="s">
        <v>363</v>
      </c>
      <c r="H11" s="35" t="n">
        <f aca="false">IF(OR($E11="",$F11="",$G11=""),"",IF(AND(LEFT(SUBSTITUTE(SUBSTITUTE(SUBSTITUTE(SUBSTITUTE(SUBSTITUTE($E11,".",""),"-","")," ","")," ",""),CHAR(9),""),6)=LEFT(SUBSTITUTE(SUBSTITUTE(SUBSTITUTE(SUBSTITUTE(SUBSTITUTE($F11,".",""),"-","")," ","")," ",""),CHAR(9),""),6),LEFT(SUBSTITUTE(SUBSTITUTE(SUBSTITUTE(SUBSTITUTE(SUBSTITUTE($F11,".",""),"-","")," ","")," ",""),CHAR(9),""),6)=LEFT(SUBSTITUTE(SUBSTITUTE(SUBSTITUTE(SUBSTITUTE(SUBSTITUTE($G11,".",""),"-","")," ","")," ",""),CHAR(9),""),6)),1,0))</f>
        <v>1</v>
      </c>
      <c r="I11" s="35" t="n">
        <f aca="false">IF(OR($E11="",$F11="",$G11=""),"",IF(AND(SUBSTITUTE(SUBSTITUTE(SUBSTITUTE(SUBSTITUTE(SUBSTITUTE($E11,".",""),"-","")," ","")," ",""),CHAR(9),"")=SUBSTITUTE(SUBSTITUTE(SUBSTITUTE(SUBSTITUTE(SUBSTITUTE($F11,".",""),"-","")," ","")," ",""),CHAR(9),""),SUBSTITUTE(SUBSTITUTE(SUBSTITUTE(SUBSTITUTE(SUBSTITUTE($F11,".",""),"-","")," ","")," ",""),CHAR(9),"")=SUBSTITUTE(SUBSTITUTE(SUBSTITUTE(SUBSTITUTE(SUBSTITUTE($G11,".",""),"-","")," ","")," ",""),CHAR(9),"")),1,0))</f>
        <v>0</v>
      </c>
      <c r="J11" s="35" t="n">
        <f aca="false">IF(OR($D11="",$E11=""),"",IF(LEFT(SUBSTITUTE(SUBSTITUTE(SUBSTITUTE(SUBSTITUTE(SUBSTITUTE($E11,".",""),"-","")," ","")," ",""),CHAR(9),""),6)=LEFT(SUBSTITUTE(SUBSTITUTE(SUBSTITUTE(SUBSTITUTE(SUBSTITUTE($D11,".",""),"-","")," ","")," ",""),CHAR(9),""),6),1,0)+IF(LEFT(SUBSTITUTE(SUBSTITUTE(SUBSTITUTE(SUBSTITUTE(SUBSTITUTE($F11,".",""),"-","")," ","")," ",""),CHAR(9),""),6)=LEFT(SUBSTITUTE(SUBSTITUTE(SUBSTITUTE(SUBSTITUTE(SUBSTITUTE($D11,".",""),"-","")," ","")," ",""),CHAR(9),""),6),1,0)+IF(LEFT(SUBSTITUTE(SUBSTITUTE(SUBSTITUTE(SUBSTITUTE(SUBSTITUTE($G11,".",""),"-","")," ","")," ",""),CHAR(9),""),6)=LEFT(SUBSTITUTE(SUBSTITUTE(SUBSTITUTE(SUBSTITUTE(SUBSTITUTE($D11,".",""),"-","")," ","")," ",""),CHAR(9),""),6),1,0))</f>
        <v>0</v>
      </c>
      <c r="K11" s="35" t="n">
        <f aca="false">IF(OR($D11="",$E11=""),"",IF(SUBSTITUTE(SUBSTITUTE(SUBSTITUTE(SUBSTITUTE(SUBSTITUTE($E11,".",""),"-","")," ","")," ",""),CHAR(9),"")=SUBSTITUTE(SUBSTITUTE(SUBSTITUTE(SUBSTITUTE(SUBSTITUTE($D11,".",""),"-","")," ","")," ",""),CHAR(9),""),1,0)+IF(SUBSTITUTE(SUBSTITUTE(SUBSTITUTE(SUBSTITUTE(SUBSTITUTE($F11,".",""),"-","")," ","")," ",""),CHAR(9),"")=SUBSTITUTE(SUBSTITUTE(SUBSTITUTE(SUBSTITUTE(SUBSTITUTE($D11,".",""),"-","")," ","")," ",""),CHAR(9),""),1,0)+IF(SUBSTITUTE(SUBSTITUTE(SUBSTITUTE(SUBSTITUTE(SUBSTITUTE($G11,".",""),"-","")," ","")," ",""),CHAR(9),"")=SUBSTITUTE(SUBSTITUTE(SUBSTITUTE(SUBSTITUTE(SUBSTITUTE($D11,".",""),"-","")," ","")," ",""),CHAR(9),""),1,0))</f>
        <v>0</v>
      </c>
      <c r="L11" s="36" t="s">
        <v>364</v>
      </c>
    </row>
    <row r="12" customFormat="false" ht="15" hidden="false" customHeight="true" outlineLevel="0" collapsed="false">
      <c r="A12" s="21" t="n">
        <v>9</v>
      </c>
      <c r="B12" s="15" t="n">
        <v>17</v>
      </c>
      <c r="C12" s="22" t="str">
        <f aca="false">IF($B12="","",IFERROR(INDEX(케이스목록!$B$5:$B$34,MATCH($B12,케이스목록!$A$5:$A$34,0)),"번호 확인"))</f>
        <v>품목분류2과-254</v>
      </c>
      <c r="D12" s="13" t="s">
        <v>127</v>
      </c>
      <c r="E12" s="34" t="s">
        <v>224</v>
      </c>
      <c r="F12" s="34" t="s">
        <v>224</v>
      </c>
      <c r="G12" s="34" t="s">
        <v>224</v>
      </c>
      <c r="H12" s="35" t="n">
        <f aca="false">IF(OR($E12="",$F12="",$G12=""),"",IF(AND(LEFT(SUBSTITUTE(SUBSTITUTE(SUBSTITUTE(SUBSTITUTE(SUBSTITUTE($E12,".",""),"-","")," ","")," ",""),CHAR(9),""),6)=LEFT(SUBSTITUTE(SUBSTITUTE(SUBSTITUTE(SUBSTITUTE(SUBSTITUTE($F12,".",""),"-","")," ","")," ",""),CHAR(9),""),6),LEFT(SUBSTITUTE(SUBSTITUTE(SUBSTITUTE(SUBSTITUTE(SUBSTITUTE($F12,".",""),"-","")," ","")," ",""),CHAR(9),""),6)=LEFT(SUBSTITUTE(SUBSTITUTE(SUBSTITUTE(SUBSTITUTE(SUBSTITUTE($G12,".",""),"-","")," ","")," ",""),CHAR(9),""),6)),1,0))</f>
        <v>1</v>
      </c>
      <c r="I12" s="35" t="n">
        <f aca="false">IF(OR($E12="",$F12="",$G12=""),"",IF(AND(SUBSTITUTE(SUBSTITUTE(SUBSTITUTE(SUBSTITUTE(SUBSTITUTE($E12,".",""),"-","")," ","")," ",""),CHAR(9),"")=SUBSTITUTE(SUBSTITUTE(SUBSTITUTE(SUBSTITUTE(SUBSTITUTE($F12,".",""),"-","")," ","")," ",""),CHAR(9),""),SUBSTITUTE(SUBSTITUTE(SUBSTITUTE(SUBSTITUTE(SUBSTITUTE($F12,".",""),"-","")," ","")," ",""),CHAR(9),"")=SUBSTITUTE(SUBSTITUTE(SUBSTITUTE(SUBSTITUTE(SUBSTITUTE($G12,".",""),"-","")," ","")," ",""),CHAR(9),"")),1,0))</f>
        <v>1</v>
      </c>
      <c r="J12" s="35" t="n">
        <f aca="false">IF(OR($D12="",$E12=""),"",IF(LEFT(SUBSTITUTE(SUBSTITUTE(SUBSTITUTE(SUBSTITUTE(SUBSTITUTE($E12,".",""),"-","")," ","")," ",""),CHAR(9),""),6)=LEFT(SUBSTITUTE(SUBSTITUTE(SUBSTITUTE(SUBSTITUTE(SUBSTITUTE($D12,".",""),"-","")," ","")," ",""),CHAR(9),""),6),1,0)+IF(LEFT(SUBSTITUTE(SUBSTITUTE(SUBSTITUTE(SUBSTITUTE(SUBSTITUTE($F12,".",""),"-","")," ","")," ",""),CHAR(9),""),6)=LEFT(SUBSTITUTE(SUBSTITUTE(SUBSTITUTE(SUBSTITUTE(SUBSTITUTE($D12,".",""),"-","")," ","")," ",""),CHAR(9),""),6),1,0)+IF(LEFT(SUBSTITUTE(SUBSTITUTE(SUBSTITUTE(SUBSTITUTE(SUBSTITUTE($G12,".",""),"-","")," ","")," ",""),CHAR(9),""),6)=LEFT(SUBSTITUTE(SUBSTITUTE(SUBSTITUTE(SUBSTITUTE(SUBSTITUTE($D12,".",""),"-","")," ","")," ",""),CHAR(9),""),6),1,0))</f>
        <v>0</v>
      </c>
      <c r="K12" s="35" t="n">
        <f aca="false">IF(OR($D12="",$E12=""),"",IF(SUBSTITUTE(SUBSTITUTE(SUBSTITUTE(SUBSTITUTE(SUBSTITUTE($E12,".",""),"-","")," ","")," ",""),CHAR(9),"")=SUBSTITUTE(SUBSTITUTE(SUBSTITUTE(SUBSTITUTE(SUBSTITUTE($D12,".",""),"-","")," ","")," ",""),CHAR(9),""),1,0)+IF(SUBSTITUTE(SUBSTITUTE(SUBSTITUTE(SUBSTITUTE(SUBSTITUTE($F12,".",""),"-","")," ","")," ",""),CHAR(9),"")=SUBSTITUTE(SUBSTITUTE(SUBSTITUTE(SUBSTITUTE(SUBSTITUTE($D12,".",""),"-","")," ","")," ",""),CHAR(9),""),1,0)+IF(SUBSTITUTE(SUBSTITUTE(SUBSTITUTE(SUBSTITUTE(SUBSTITUTE($G12,".",""),"-","")," ","")," ",""),CHAR(9),"")=SUBSTITUTE(SUBSTITUTE(SUBSTITUTE(SUBSTITUTE(SUBSTITUTE($D12,".",""),"-","")," ","")," ",""),CHAR(9),""),1,0))</f>
        <v>0</v>
      </c>
      <c r="L12" s="36"/>
    </row>
    <row r="13" customFormat="false" ht="15" hidden="false" customHeight="true" outlineLevel="0" collapsed="false">
      <c r="A13" s="21" t="n">
        <v>10</v>
      </c>
      <c r="B13" s="15" t="n">
        <v>23</v>
      </c>
      <c r="C13" s="22" t="str">
        <f aca="false">IF($B13="","",IFERROR(INDEX(케이스목록!$B$5:$B$34,MATCH($B13,케이스목록!$A$5:$A$34,0)),"번호 확인"))</f>
        <v>품목분류4과-174</v>
      </c>
      <c r="D13" s="13" t="s">
        <v>151</v>
      </c>
      <c r="E13" s="34" t="s">
        <v>365</v>
      </c>
      <c r="F13" s="34" t="s">
        <v>365</v>
      </c>
      <c r="G13" s="34" t="s">
        <v>365</v>
      </c>
      <c r="H13" s="35" t="n">
        <f aca="false">IF(OR($E13="",$F13="",$G13=""),"",IF(AND(LEFT(SUBSTITUTE(SUBSTITUTE(SUBSTITUTE(SUBSTITUTE(SUBSTITUTE($E13,".",""),"-","")," ","")," ",""),CHAR(9),""),6)=LEFT(SUBSTITUTE(SUBSTITUTE(SUBSTITUTE(SUBSTITUTE(SUBSTITUTE($F13,".",""),"-","")," ","")," ",""),CHAR(9),""),6),LEFT(SUBSTITUTE(SUBSTITUTE(SUBSTITUTE(SUBSTITUTE(SUBSTITUTE($F13,".",""),"-","")," ","")," ",""),CHAR(9),""),6)=LEFT(SUBSTITUTE(SUBSTITUTE(SUBSTITUTE(SUBSTITUTE(SUBSTITUTE($G13,".",""),"-","")," ","")," ",""),CHAR(9),""),6)),1,0))</f>
        <v>1</v>
      </c>
      <c r="I13" s="35" t="n">
        <f aca="false">IF(OR($E13="",$F13="",$G13=""),"",IF(AND(SUBSTITUTE(SUBSTITUTE(SUBSTITUTE(SUBSTITUTE(SUBSTITUTE($E13,".",""),"-","")," ","")," ",""),CHAR(9),"")=SUBSTITUTE(SUBSTITUTE(SUBSTITUTE(SUBSTITUTE(SUBSTITUTE($F13,".",""),"-","")," ","")," ",""),CHAR(9),""),SUBSTITUTE(SUBSTITUTE(SUBSTITUTE(SUBSTITUTE(SUBSTITUTE($F13,".",""),"-","")," ","")," ",""),CHAR(9),"")=SUBSTITUTE(SUBSTITUTE(SUBSTITUTE(SUBSTITUTE(SUBSTITUTE($G13,".",""),"-","")," ","")," ",""),CHAR(9),"")),1,0))</f>
        <v>1</v>
      </c>
      <c r="J13" s="35" t="n">
        <f aca="false">IF(OR($D13="",$E13=""),"",IF(LEFT(SUBSTITUTE(SUBSTITUTE(SUBSTITUTE(SUBSTITUTE(SUBSTITUTE($E13,".",""),"-","")," ","")," ",""),CHAR(9),""),6)=LEFT(SUBSTITUTE(SUBSTITUTE(SUBSTITUTE(SUBSTITUTE(SUBSTITUTE($D13,".",""),"-","")," ","")," ",""),CHAR(9),""),6),1,0)+IF(LEFT(SUBSTITUTE(SUBSTITUTE(SUBSTITUTE(SUBSTITUTE(SUBSTITUTE($F13,".",""),"-","")," ","")," ",""),CHAR(9),""),6)=LEFT(SUBSTITUTE(SUBSTITUTE(SUBSTITUTE(SUBSTITUTE(SUBSTITUTE($D13,".",""),"-","")," ","")," ",""),CHAR(9),""),6),1,0)+IF(LEFT(SUBSTITUTE(SUBSTITUTE(SUBSTITUTE(SUBSTITUTE(SUBSTITUTE($G13,".",""),"-","")," ","")," ",""),CHAR(9),""),6)=LEFT(SUBSTITUTE(SUBSTITUTE(SUBSTITUTE(SUBSTITUTE(SUBSTITUTE($D13,".",""),"-","")," ","")," ",""),CHAR(9),""),6),1,0))</f>
        <v>3</v>
      </c>
      <c r="K13" s="35" t="n">
        <f aca="false">IF(OR($D13="",$E13=""),"",IF(SUBSTITUTE(SUBSTITUTE(SUBSTITUTE(SUBSTITUTE(SUBSTITUTE($E13,".",""),"-","")," ","")," ",""),CHAR(9),"")=SUBSTITUTE(SUBSTITUTE(SUBSTITUTE(SUBSTITUTE(SUBSTITUTE($D13,".",""),"-","")," ","")," ",""),CHAR(9),""),1,0)+IF(SUBSTITUTE(SUBSTITUTE(SUBSTITUTE(SUBSTITUTE(SUBSTITUTE($F13,".",""),"-","")," ","")," ",""),CHAR(9),"")=SUBSTITUTE(SUBSTITUTE(SUBSTITUTE(SUBSTITUTE(SUBSTITUTE($D13,".",""),"-","")," ","")," ",""),CHAR(9),""),1,0)+IF(SUBSTITUTE(SUBSTITUTE(SUBSTITUTE(SUBSTITUTE(SUBSTITUTE($G13,".",""),"-","")," ","")," ",""),CHAR(9),"")=SUBSTITUTE(SUBSTITUTE(SUBSTITUTE(SUBSTITUTE(SUBSTITUTE($D13,".",""),"-","")," ","")," ",""),CHAR(9),""),1,0))</f>
        <v>3</v>
      </c>
      <c r="L13" s="3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B10" activeCellId="0" sqref="B10"/>
    </sheetView>
  </sheetViews>
  <sheetFormatPr defaultColWidth="8.71484375" defaultRowHeight="15" zeroHeight="false" outlineLevelRow="0" outlineLevelCol="0"/>
  <cols>
    <col collapsed="false" customWidth="true" hidden="false" outlineLevel="0" max="1" min="1" style="1" width="30"/>
    <col collapsed="false" customWidth="true" hidden="false" outlineLevel="0" max="2" min="2" style="1" width="44"/>
    <col collapsed="false" customWidth="true" hidden="false" outlineLevel="0" max="3" min="3" style="1" width="52"/>
  </cols>
  <sheetData>
    <row r="1" customFormat="false" ht="15.75" hidden="false" customHeight="true" outlineLevel="0" collapsed="false">
      <c r="A1" s="18" t="s">
        <v>366</v>
      </c>
    </row>
    <row r="2" customFormat="false" ht="15" hidden="false" customHeight="true" outlineLevel="0" collapsed="false">
      <c r="A2" s="3" t="s">
        <v>367</v>
      </c>
    </row>
    <row r="4" customFormat="false" ht="15" hidden="false" customHeight="true" outlineLevel="0" collapsed="false">
      <c r="A4" s="37" t="s">
        <v>368</v>
      </c>
      <c r="B4" s="37" t="s">
        <v>369</v>
      </c>
      <c r="C4" s="37" t="s">
        <v>370</v>
      </c>
    </row>
    <row r="5" customFormat="false" ht="30" hidden="false" customHeight="true" outlineLevel="0" collapsed="false">
      <c r="A5" s="38" t="s">
        <v>371</v>
      </c>
      <c r="B5" s="16" t="s">
        <v>372</v>
      </c>
      <c r="C5" s="39" t="s">
        <v>373</v>
      </c>
    </row>
    <row r="6" customFormat="false" ht="30" hidden="false" customHeight="true" outlineLevel="0" collapsed="false">
      <c r="A6" s="38" t="s">
        <v>374</v>
      </c>
      <c r="B6" s="16" t="s">
        <v>375</v>
      </c>
      <c r="C6" s="39" t="s">
        <v>376</v>
      </c>
    </row>
    <row r="7" customFormat="false" ht="30" hidden="false" customHeight="true" outlineLevel="0" collapsed="false">
      <c r="A7" s="40" t="s">
        <v>377</v>
      </c>
      <c r="B7" s="16" t="s">
        <v>378</v>
      </c>
      <c r="C7" s="39" t="s">
        <v>379</v>
      </c>
    </row>
    <row r="8" customFormat="false" ht="30" hidden="false" customHeight="true" outlineLevel="0" collapsed="false">
      <c r="A8" s="40" t="s">
        <v>380</v>
      </c>
      <c r="B8" s="16" t="s">
        <v>381</v>
      </c>
      <c r="C8" s="39" t="s">
        <v>382</v>
      </c>
    </row>
    <row r="9" customFormat="false" ht="30" hidden="false" customHeight="true" outlineLevel="0" collapsed="false">
      <c r="A9" s="40" t="s">
        <v>383</v>
      </c>
      <c r="B9" s="16" t="s">
        <v>384</v>
      </c>
      <c r="C9" s="39"/>
    </row>
    <row r="10" customFormat="false" ht="30" hidden="false" customHeight="true" outlineLevel="0" collapsed="false">
      <c r="A10" s="40" t="s">
        <v>385</v>
      </c>
      <c r="B10" s="16" t="s">
        <v>384</v>
      </c>
      <c r="C10" s="39"/>
    </row>
    <row r="11" customFormat="false" ht="30" hidden="false" customHeight="true" outlineLevel="0" collapsed="false">
      <c r="A11" s="40" t="s">
        <v>386</v>
      </c>
      <c r="B11" s="16" t="s">
        <v>384</v>
      </c>
      <c r="C11" s="39"/>
    </row>
    <row r="12" customFormat="false" ht="30" hidden="false" customHeight="true" outlineLevel="0" collapsed="false">
      <c r="A12" s="40" t="s">
        <v>387</v>
      </c>
      <c r="B12" s="12" t="s">
        <v>388</v>
      </c>
      <c r="C12" s="39" t="s">
        <v>389</v>
      </c>
    </row>
    <row r="13" customFormat="false" ht="30" hidden="false" customHeight="true" outlineLevel="0" collapsed="false">
      <c r="A13" s="38" t="s">
        <v>390</v>
      </c>
      <c r="B13" s="12" t="s">
        <v>391</v>
      </c>
      <c r="C13" s="39" t="s">
        <v>392</v>
      </c>
    </row>
    <row r="14" customFormat="false" ht="30" hidden="false" customHeight="true" outlineLevel="0" collapsed="false">
      <c r="A14" s="38" t="s">
        <v>393</v>
      </c>
      <c r="B14" s="16"/>
      <c r="C14" s="39" t="s">
        <v>394</v>
      </c>
    </row>
    <row r="15" customFormat="false" ht="30" hidden="false" customHeight="true" outlineLevel="0" collapsed="false">
      <c r="A15" s="38" t="s">
        <v>395</v>
      </c>
      <c r="B15" s="16"/>
      <c r="C15" s="41" t="s">
        <v>396</v>
      </c>
    </row>
    <row r="16" customFormat="false" ht="30" hidden="false" customHeight="true" outlineLevel="0" collapsed="false">
      <c r="A16" s="38" t="s">
        <v>397</v>
      </c>
      <c r="B16" s="16" t="s">
        <v>398</v>
      </c>
      <c r="C16" s="39"/>
    </row>
    <row r="17" customFormat="false" ht="30" hidden="false" customHeight="true" outlineLevel="0" collapsed="false">
      <c r="A17" s="38" t="s">
        <v>399</v>
      </c>
      <c r="B17" s="16"/>
      <c r="C17" s="39" t="s">
        <v>400</v>
      </c>
    </row>
    <row r="18" customFormat="false" ht="30" hidden="false" customHeight="true" outlineLevel="0" collapsed="false">
      <c r="A18" s="38" t="s">
        <v>401</v>
      </c>
      <c r="B18" s="12" t="s">
        <v>402</v>
      </c>
      <c r="C18" s="39"/>
    </row>
    <row r="19" customFormat="false" ht="45.75" hidden="false" customHeight="true" outlineLevel="0" collapsed="false">
      <c r="A19" s="38" t="s">
        <v>403</v>
      </c>
      <c r="B19" s="12" t="s">
        <v>404</v>
      </c>
      <c r="C19" s="39" t="s">
        <v>405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C53"/>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A13" activeCellId="0" sqref="A13"/>
    </sheetView>
  </sheetViews>
  <sheetFormatPr defaultColWidth="8.714843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70"/>
  </cols>
  <sheetData>
    <row r="1" customFormat="false" ht="15.75" hidden="false" customHeight="true" outlineLevel="0" collapsed="false">
      <c r="A1" s="18" t="s">
        <v>406</v>
      </c>
    </row>
    <row r="2" customFormat="false" ht="15" hidden="false" customHeight="true" outlineLevel="0" collapsed="false">
      <c r="A2" s="3" t="s">
        <v>407</v>
      </c>
    </row>
    <row r="4" customFormat="false" ht="15" hidden="false" customHeight="true" outlineLevel="0" collapsed="false">
      <c r="A4" s="42" t="s">
        <v>408</v>
      </c>
      <c r="B4" s="43"/>
      <c r="C4" s="43"/>
    </row>
    <row r="5" customFormat="false" ht="15" hidden="false" customHeight="true" outlineLevel="0" collapsed="false">
      <c r="A5" s="44" t="s">
        <v>409</v>
      </c>
      <c r="B5" s="45" t="n">
        <f aca="false">COUNTIFS(측정기록!$E$5:$E$34,"O",측정기록!$I$5:$I$34,"&gt;=0")</f>
        <v>29</v>
      </c>
      <c r="C5" s="41" t="s">
        <v>410</v>
      </c>
    </row>
    <row r="6" customFormat="false" ht="15" hidden="false" customHeight="true" outlineLevel="0" collapsed="false">
      <c r="A6" s="44" t="s">
        <v>411</v>
      </c>
      <c r="B6" s="45" t="n">
        <f aca="false">COUNTIFS(조건B_품명only!$E$5:$E$34,"O",조건B_품명only!$H$5:$H$34,"&gt;=0")</f>
        <v>28</v>
      </c>
      <c r="C6" s="39"/>
    </row>
    <row r="7" customFormat="false" ht="15" hidden="false" customHeight="true" outlineLevel="0" collapsed="false">
      <c r="A7" s="44" t="s">
        <v>412</v>
      </c>
      <c r="B7" s="45" t="n">
        <f aca="false">COUNTIF(케이스목록!$H$5:$H$34,"X")+COUNTIF(케이스목록!$I$5:$I$34,"X")</f>
        <v>3</v>
      </c>
      <c r="C7" s="39" t="s">
        <v>413</v>
      </c>
    </row>
    <row r="8" customFormat="false" ht="15" hidden="false" customHeight="true" outlineLevel="0" collapsed="false">
      <c r="A8" s="44" t="s">
        <v>414</v>
      </c>
      <c r="B8" s="45" t="n">
        <f aca="false">COUNTIF(측정기록!$G$5:$G$34,"O")</f>
        <v>0</v>
      </c>
      <c r="C8" s="41" t="s">
        <v>415</v>
      </c>
    </row>
    <row r="10" customFormat="false" ht="16.5" hidden="false" customHeight="true" outlineLevel="0" collapsed="false">
      <c r="A10" s="42" t="s">
        <v>416</v>
      </c>
      <c r="B10" s="43"/>
      <c r="C10" s="43"/>
    </row>
    <row r="11" customFormat="false" ht="15" hidden="false" customHeight="true" outlineLevel="0" collapsed="false">
      <c r="A11" s="46" t="s">
        <v>417</v>
      </c>
      <c r="B11" s="47" t="n">
        <f aca="false">IF(COUNTIFS(측정기록!$E$5:$E$34,"O",측정기록!$I$5:$I$34,"&gt;=0")=0,"",SUMIFS(측정기록!$I$5:$I$34,측정기록!$E$5:$E$34,"O")/COUNTIFS(측정기록!$E$5:$E$34,"O",측정기록!$I$5:$I$34,"&gt;=0"))</f>
        <v>0.517241379310345</v>
      </c>
      <c r="C11" s="39" t="s">
        <v>418</v>
      </c>
    </row>
    <row r="12" customFormat="false" ht="15" hidden="false" customHeight="true" outlineLevel="0" collapsed="false">
      <c r="A12" s="46" t="s">
        <v>419</v>
      </c>
      <c r="B12" s="47" t="n">
        <f aca="false">IF(COUNTIFS(측정기록!$E$5:$E$34,"O",측정기록!$J$5:$J$34,"&gt;=0")=0,"",SUMIFS(측정기록!$J$5:$J$34,측정기록!$E$5:$E$34,"O")/COUNTIFS(측정기록!$E$5:$E$34,"O",측정기록!$J$5:$J$34,"&gt;=0"))</f>
        <v>0.413793103448276</v>
      </c>
      <c r="C12" s="39" t="s">
        <v>420</v>
      </c>
    </row>
    <row r="13" customFormat="false" ht="15" hidden="false" customHeight="true" outlineLevel="0" collapsed="false">
      <c r="A13" s="46" t="s">
        <v>421</v>
      </c>
      <c r="B13" s="47" t="n">
        <f aca="false">IF(COUNTIFS(측정기록!$E$5:$E$34,"O",측정기록!$K$5:$K$34,"&gt;=0")=0,"",SUMIFS(측정기록!$K$5:$K$34,측정기록!$E$5:$E$34,"O")/COUNTIFS(측정기록!$E$5:$E$34,"O",측정기록!$K$5:$K$34,"&gt;=0"))</f>
        <v>0.137931034482759</v>
      </c>
      <c r="C13" s="39" t="s">
        <v>422</v>
      </c>
    </row>
    <row r="14" customFormat="false" ht="15" hidden="false" customHeight="true" outlineLevel="0" collapsed="false">
      <c r="A14" s="46" t="s">
        <v>423</v>
      </c>
      <c r="B14" s="47" t="n">
        <f aca="false">IF(COUNTIFS(측정기록!$E$5:$E$34,"O",측정기록!$O$5:$O$34,"&gt;=0")=0,"",SUMIFS(측정기록!$O$5:$O$34,측정기록!$E$5:$E$34,"O")/COUNTIFS(측정기록!$E$5:$E$34,"O",측정기록!$O$5:$O$34,"&gt;=0"))</f>
        <v>0.413793103448276</v>
      </c>
      <c r="C14" s="41" t="s">
        <v>424</v>
      </c>
    </row>
    <row r="15" customFormat="false" ht="15" hidden="false" customHeight="true" outlineLevel="0" collapsed="false">
      <c r="A15" s="46" t="s">
        <v>425</v>
      </c>
      <c r="B15" s="47" t="n">
        <f aca="false">IF(COUNTIFS(측정기록!$E$5:$E$34,"O",측정기록!$P$5:$P$34,"&gt;=0")=0,"",SUMIFS(측정기록!$P$5:$P$34,측정기록!$E$5:$E$34,"O")/COUNTIFS(측정기록!$E$5:$E$34,"O",측정기록!$P$5:$P$34,"&gt;=0"))</f>
        <v>0.827586206896552</v>
      </c>
      <c r="C15" s="39" t="s">
        <v>426</v>
      </c>
    </row>
    <row r="17" customFormat="false" ht="16.5" hidden="false" customHeight="true" outlineLevel="0" collapsed="false">
      <c r="A17" s="48" t="s">
        <v>427</v>
      </c>
      <c r="B17" s="49"/>
      <c r="C17" s="49"/>
    </row>
    <row r="18" customFormat="false" ht="15" hidden="false" customHeight="true" outlineLevel="0" collapsed="false">
      <c r="A18" s="46" t="s">
        <v>428</v>
      </c>
      <c r="B18" s="47" t="n">
        <f aca="false">IF(COUNTIFS(조건B_품명only!$E$5:$E$34,"O",조건B_품명only!$H$5:$H$34,"&gt;=0")=0,"",SUMIFS(조건B_품명only!$H$5:$H$34,조건B_품명only!$E$5:$E$34,"O")/COUNTIFS(조건B_품명only!$E$5:$E$34,"O",조건B_품명only!$H$5:$H$34,"&gt;=0"))</f>
        <v>0.535714285714286</v>
      </c>
      <c r="C18" s="39"/>
    </row>
    <row r="19" customFormat="false" ht="15" hidden="false" customHeight="true" outlineLevel="0" collapsed="false">
      <c r="A19" s="46" t="s">
        <v>429</v>
      </c>
      <c r="B19" s="47" t="n">
        <f aca="false">IF(COUNTIFS(조건B_품명only!$E$5:$E$34,"O",조건B_품명only!$I$5:$I$34,"&gt;=0")=0,"",SUMIFS(조건B_품명only!$I$5:$I$34,조건B_품명only!$E$5:$E$34,"O")/COUNTIFS(조건B_품명only!$E$5:$E$34,"O",조건B_품명only!$I$5:$I$34,"&gt;=0"))</f>
        <v>0.428571428571429</v>
      </c>
      <c r="C19" s="39" t="s">
        <v>430</v>
      </c>
    </row>
    <row r="20" customFormat="false" ht="15" hidden="false" customHeight="true" outlineLevel="0" collapsed="false">
      <c r="A20" s="46" t="s">
        <v>431</v>
      </c>
      <c r="B20" s="47" t="n">
        <f aca="false">IF(COUNTIFS(조건B_품명only!$E$5:$E$34,"O",조건B_품명only!$J$5:$J$34,"&gt;=0")=0,"",SUMIFS(조건B_품명only!$J$5:$J$34,조건B_품명only!$E$5:$E$34,"O")/COUNTIFS(조건B_품명only!$E$5:$E$34,"O",조건B_품명only!$J$5:$J$34,"&gt;=0"))</f>
        <v>0.214285714285714</v>
      </c>
      <c r="C20" s="39"/>
    </row>
    <row r="21" customFormat="false" ht="15" hidden="false" customHeight="true" outlineLevel="0" collapsed="false">
      <c r="A21" s="44" t="s">
        <v>432</v>
      </c>
      <c r="B21" s="47" t="n">
        <f aca="false">IF(COUNTIFS(조건B_품명only!$E$5:$E$34,"O",조건B_품명only!$H$5:$H$34,"&gt;=0",조건B_품명only!$K$5:$K$34,"O")+COUNTIFS(조건B_품명only!$E$5:$E$34,"O",조건B_품명only!$H$5:$H$34,"&gt;=0",조건B_품명only!$K$5:$K$34,"X")=0,"",COUNTIFS(조건B_품명only!$E$5:$E$34,"O",조건B_품명only!$H$5:$H$34,"&gt;=0",조건B_품명only!$K$5:$K$34,"O")/(COUNTIFS(조건B_품명only!$E$5:$E$34,"O",조건B_품명only!$H$5:$H$34,"&gt;=0",조건B_품명only!$K$5:$K$34,"O")+COUNTIFS(조건B_품명only!$E$5:$E$34,"O",조건B_품명only!$H$5:$H$34,"&gt;=0",조건B_품명only!$K$5:$K$34,"X")))</f>
        <v>0.0357142857142857</v>
      </c>
      <c r="C21" s="39" t="s">
        <v>433</v>
      </c>
    </row>
    <row r="22" customFormat="false" ht="15" hidden="false" customHeight="true" outlineLevel="0" collapsed="false">
      <c r="A22" s="44" t="s">
        <v>434</v>
      </c>
      <c r="B22" s="50" t="n">
        <f aca="false">IF(COUNTIFS(조건B_품명only!$E$5:$E$34,"O",조건B_품명only!$H$5:$H$34,"&gt;=0")=0,"",SUMIFS(조건B_품명only!$L$5:$L$34,조건B_품명only!$E$5:$E$34,"O",조건B_품명only!$H$5:$H$34,"&gt;=0")/COUNTIFS(조건B_품명only!$E$5:$E$34,"O",조건B_품명only!$H$5:$H$34,"&gt;=0"))</f>
        <v>0.0714285714285714</v>
      </c>
      <c r="C22" s="41" t="s">
        <v>435</v>
      </c>
    </row>
    <row r="24" customFormat="false" ht="16.5" hidden="false" customHeight="true" outlineLevel="0" collapsed="false">
      <c r="A24" s="48" t="s">
        <v>436</v>
      </c>
      <c r="B24" s="49"/>
      <c r="C24" s="49"/>
    </row>
    <row r="25" customFormat="false" ht="15" hidden="false" customHeight="true" outlineLevel="0" collapsed="false">
      <c r="A25" s="44" t="s">
        <v>437</v>
      </c>
      <c r="B25" s="47" t="n">
        <f aca="false">IF(COUNTIFS(조건B_품명only!$E$5:$E$34,"O",조건B_품명only!$F$5:$F$34,"품명명확",조건B_품명only!$I$5:$I$34,"&gt;=0")=0,"",SUMIFS(조건B_품명only!$I$5:$I$34,조건B_품명only!$E$5:$E$34,"O",조건B_품명only!$F$5:$F$34,"품명명확")/COUNTIFS(조건B_품명only!$E$5:$E$34,"O",조건B_품명only!$F$5:$F$34,"품명명확",조건B_품명only!$I$5:$I$34,"&gt;=0"))</f>
        <v>0.523809523809524</v>
      </c>
      <c r="C25" s="39" t="s">
        <v>438</v>
      </c>
    </row>
    <row r="26" customFormat="false" ht="15" hidden="false" customHeight="true" outlineLevel="0" collapsed="false">
      <c r="A26" s="44" t="s">
        <v>439</v>
      </c>
      <c r="B26" s="47" t="n">
        <f aca="false">IF(COUNTIFS(조건B_품명only!$E$5:$E$34,"O",조건B_품명only!$F$5:$F$34,"품번only",조건B_품명only!$I$5:$I$34,"&gt;=0")=0,"",SUMIFS(조건B_품명only!$I$5:$I$34,조건B_품명only!$E$5:$E$34,"O",조건B_품명only!$F$5:$F$34,"품번only")/COUNTIFS(조건B_품명only!$E$5:$E$34,"O",조건B_품명only!$F$5:$F$34,"품번only",조건B_품명only!$I$5:$I$34,"&gt;=0"))</f>
        <v>0.142857142857143</v>
      </c>
      <c r="C26" s="39" t="s">
        <v>440</v>
      </c>
    </row>
    <row r="28" customFormat="false" ht="16.5" hidden="false" customHeight="true" outlineLevel="0" collapsed="false">
      <c r="A28" s="51" t="s">
        <v>441</v>
      </c>
      <c r="B28" s="52"/>
      <c r="C28" s="52"/>
    </row>
    <row r="29" customFormat="false" ht="15" hidden="false" customHeight="true" outlineLevel="0" collapsed="false">
      <c r="A29" s="46" t="s">
        <v>442</v>
      </c>
      <c r="B29" s="47" t="n">
        <f aca="false">IF(OR(B12="",B19=""),"",B12-B19)</f>
        <v>-0.0147783251231527</v>
      </c>
      <c r="C29" s="39" t="s">
        <v>443</v>
      </c>
    </row>
    <row r="30" customFormat="false" ht="36" hidden="false" customHeight="true" outlineLevel="0" collapsed="false">
      <c r="A30" s="53" t="s">
        <v>444</v>
      </c>
      <c r="B30" s="54" t="str">
        <f aca="false">IF(OR(B12="",B19=""),"조건 A와 B를 모두 채우면 표시됩니다",IF(B12-B19&gt;=0.3,"격차가 큽니다. 되묻기 기능이 핵심임이 데이터로 뒷받침됩니다",IF(B12-B19&gt;=0.15,"유의미한 격차. 되묻기는 보조로, 근거 제시를 주력으로",IF(B12-B19&gt;=0,"격차가 작습니다. 병목은 정보 부족이 아니라 분류 판단 자체일 가능성","역전 현상 — 상세 설명이 오히려 오분류를 유발했습니다. 정보 요약·정제 단계가 필요하다는 강한 신호입니다"))))</f>
        <v>역전 현상 — 상세 설명이 오히려 오분류를 유발했습니다. 정보 요약·정제 단계가 필요하다는 강한 신호입니다</v>
      </c>
      <c r="C30" s="54"/>
    </row>
    <row r="32" customFormat="false" ht="15" hidden="false" customHeight="true" outlineLevel="0" collapsed="false">
      <c r="A32" s="55" t="s">
        <v>445</v>
      </c>
      <c r="B32" s="56"/>
      <c r="C32" s="56"/>
    </row>
    <row r="33" customFormat="false" ht="15" hidden="false" customHeight="true" outlineLevel="0" collapsed="false">
      <c r="A33" s="57" t="s">
        <v>446</v>
      </c>
      <c r="B33" s="58" t="n">
        <f aca="false">IF(COUNT(일관성!$H$4:$H$13)=0,"",SUM(일관성!$H$4:$H$13)/COUNT(일관성!$H$4:$H$13))</f>
        <v>0.9</v>
      </c>
      <c r="C33" s="59" t="s">
        <v>447</v>
      </c>
    </row>
    <row r="34" customFormat="false" ht="15" hidden="false" customHeight="true" outlineLevel="0" collapsed="false">
      <c r="A34" s="57" t="s">
        <v>448</v>
      </c>
      <c r="B34" s="58" t="n">
        <f aca="false">IF(COUNT(일관성!$I$4:$I$13)=0,"",SUM(일관성!$I$4:$I$13)/COUNT(일관성!$I$4:$I$13))</f>
        <v>0.6</v>
      </c>
      <c r="C34" s="59" t="s">
        <v>449</v>
      </c>
    </row>
    <row r="35" customFormat="false" ht="15" hidden="false" customHeight="false" outlineLevel="0" collapsed="false">
      <c r="A35" s="57" t="s">
        <v>450</v>
      </c>
      <c r="B35" s="60" t="n">
        <f aca="false">IF(COUNT(일관성!$J$4:$J$13)=0,"",AVERAGE(일관성!$J$4:$J$13))</f>
        <v>1.9</v>
      </c>
      <c r="C35" s="61" t="s">
        <v>451</v>
      </c>
    </row>
    <row r="36" customFormat="false" ht="15" hidden="false" customHeight="true" outlineLevel="0" collapsed="false">
      <c r="A36" s="57" t="s">
        <v>452</v>
      </c>
      <c r="B36" s="60" t="n">
        <f aca="false">IF(COUNT(일관성!$K$4:$K$13)=0,"",AVERAGE(일관성!$K$4:$K$13))</f>
        <v>1.3</v>
      </c>
      <c r="C36" s="61" t="s">
        <v>453</v>
      </c>
    </row>
    <row r="37" customFormat="false" ht="36" hidden="false" customHeight="true" outlineLevel="0" collapsed="false">
      <c r="A37" s="62"/>
      <c r="B37" s="63"/>
      <c r="C37" s="64"/>
    </row>
    <row r="38" customFormat="false" ht="15" hidden="false" customHeight="false" outlineLevel="0" collapsed="false">
      <c r="A38" s="65" t="s">
        <v>454</v>
      </c>
      <c r="B38" s="66"/>
      <c r="C38" s="66"/>
    </row>
    <row r="39" customFormat="false" ht="33.75" hidden="false" customHeight="true" outlineLevel="0" collapsed="false">
      <c r="A39" s="67" t="s">
        <v>455</v>
      </c>
      <c r="B39" s="68" t="str">
        <f aca="false">IF(B12="","측정 결과를 입력하세요",IF(B5&lt;10,"유효 건수 부족 — 최소 20건 필요",IF(B12&lt;0.5,"A 확정 — 개선 여지가 크고 프로젝트 명분이 명확합니다",IF(B12&lt;0.75,"A 확정 — 정확도보다 근거 제시와 검증 시간 단축이 승부처",IF(B12&lt;0.9,"A 유지 — 초점을 완전히 검증 시간 단축으로","분류 자체는 문제가 아님 — 되묻기 중심 재설계 또는 통관 서류 파싱으로 전환 검토")))))</f>
        <v>A 확정 — 개선 여지가 크고 프로젝트 명분이 명확합니다</v>
      </c>
      <c r="C39" s="68"/>
    </row>
    <row r="40" customFormat="false" ht="15" hidden="false" customHeight="true" outlineLevel="0" collapsed="false">
      <c r="A40" s="69"/>
      <c r="B40" s="69"/>
      <c r="C40" s="69"/>
    </row>
    <row r="41" customFormat="false" ht="39.75" hidden="false" customHeight="true" outlineLevel="0" collapsed="false">
      <c r="A41" s="67" t="s">
        <v>456</v>
      </c>
      <c r="B41" s="70" t="str">
        <f aca="false">IF(B34="","일관성 시트를 채우면 표시됩니다",IF(B34&lt;0.7,"10자리 기준 일관성이 낮습니다. 같은 질문에 세번이 매번 달라지므로 정확도와 무관하게 실무 도입이 불가합니다. 만들 것은 분류기가 아니라 답을 고정하고 근거를 붙이는 시스템입니다","10자리 기준으로도 답변이 안정적입니다. 차별화를 정확도와 근거 제시에 두세요"))</f>
        <v>10자리 기준 일관성이 낮습니다. 같은 질문에 세번이 매번 달라지므로 정확도와 무관하게 실무 도입이 불가합니다. 만들 것은 분류기가 아니라 답을 고정하고 근거를 붙이는 시스템입니다</v>
      </c>
      <c r="C41" s="70"/>
    </row>
    <row r="42" customFormat="false" ht="15" hidden="false" customHeight="true" outlineLevel="0" collapsed="false">
      <c r="A42" s="71"/>
      <c r="B42" s="72"/>
      <c r="C42" s="73"/>
    </row>
    <row r="43" customFormat="false" ht="15" hidden="false" customHeight="true" outlineLevel="0" collapsed="false">
      <c r="A43" s="55" t="s">
        <v>457</v>
      </c>
      <c r="B43" s="74"/>
      <c r="C43" s="75"/>
    </row>
    <row r="44" customFormat="false" ht="15" hidden="false" customHeight="true" outlineLevel="0" collapsed="false">
      <c r="A44" s="76" t="s">
        <v>458</v>
      </c>
      <c r="B44" s="77" t="s">
        <v>459</v>
      </c>
      <c r="C44" s="78" t="s">
        <v>460</v>
      </c>
    </row>
    <row r="45" customFormat="false" ht="15" hidden="false" customHeight="true" outlineLevel="0" collapsed="false">
      <c r="A45" s="79" t="s">
        <v>285</v>
      </c>
      <c r="B45" s="80" t="n">
        <f aca="false">COUNTIFS(측정기록!$E$5:$E$34,"O",측정기록!$Q$5:$Q$34,$A45)</f>
        <v>1</v>
      </c>
      <c r="C45" s="81" t="n">
        <f aca="false">IF(COUNTIFS(측정기록!$E$5:$E$34,"O",측정기록!$Q$5:$Q$34,"&lt;&gt;")=0,"",B45/COUNTIFS(측정기록!$E$5:$E$34,"O",측정기록!$Q$5:$Q$34,"&lt;&gt;"))</f>
        <v>0.0416666666666667</v>
      </c>
    </row>
    <row r="46" customFormat="false" ht="15" hidden="false" customHeight="true" outlineLevel="0" collapsed="false">
      <c r="A46" s="79" t="s">
        <v>211</v>
      </c>
      <c r="B46" s="80" t="n">
        <f aca="false">COUNTIFS(측정기록!$E$5:$E$34,"O",측정기록!$Q$5:$Q$34,$A46)</f>
        <v>2</v>
      </c>
      <c r="C46" s="81" t="n">
        <f aca="false">IF(COUNTIFS(측정기록!$E$5:$E$34,"O",측정기록!$Q$5:$Q$34,"&lt;&gt;")=0,"",B46/COUNTIFS(측정기록!$E$5:$E$34,"O",측정기록!$Q$5:$Q$34,"&lt;&gt;"))</f>
        <v>0.0833333333333333</v>
      </c>
    </row>
    <row r="47" customFormat="false" ht="15" hidden="false" customHeight="true" outlineLevel="0" collapsed="false">
      <c r="A47" s="79" t="s">
        <v>461</v>
      </c>
      <c r="B47" s="80" t="n">
        <f aca="false">COUNTIFS(측정기록!$E$5:$E$34,"O",측정기록!$Q$5:$Q$34,$A47)</f>
        <v>2</v>
      </c>
      <c r="C47" s="81" t="n">
        <f aca="false">IF(COUNTIFS(측정기록!$E$5:$E$34,"O",측정기록!$Q$5:$Q$34,"&lt;&gt;")=0,"",B47/COUNTIFS(측정기록!$E$5:$E$34,"O",측정기록!$Q$5:$Q$34,"&lt;&gt;"))</f>
        <v>0.0833333333333333</v>
      </c>
    </row>
    <row r="48" customFormat="false" ht="15" hidden="false" customHeight="true" outlineLevel="0" collapsed="false">
      <c r="A48" s="79" t="s">
        <v>202</v>
      </c>
      <c r="B48" s="80" t="n">
        <f aca="false">COUNTIFS(측정기록!$E$5:$E$34,"O",측정기록!$Q$5:$Q$34,$A48)</f>
        <v>10</v>
      </c>
      <c r="C48" s="81" t="n">
        <f aca="false">IF(COUNTIFS(측정기록!$E$5:$E$34,"O",측정기록!$Q$5:$Q$34,"&lt;&gt;")=0,"",B48/COUNTIFS(측정기록!$E$5:$E$34,"O",측정기록!$Q$5:$Q$34,"&lt;&gt;"))</f>
        <v>0.416666666666667</v>
      </c>
    </row>
    <row r="49" customFormat="false" ht="15" hidden="false" customHeight="true" outlineLevel="0" collapsed="false">
      <c r="A49" s="79" t="s">
        <v>462</v>
      </c>
      <c r="B49" s="80" t="n">
        <f aca="false">COUNTIFS(측정기록!$E$5:$E$34,"O",측정기록!$Q$5:$Q$34,$A49)</f>
        <v>6</v>
      </c>
      <c r="C49" s="81" t="n">
        <f aca="false">IF(COUNTIFS(측정기록!$E$5:$E$34,"O",측정기록!$Q$5:$Q$34,"&lt;&gt;")=0,"",B49/COUNTIFS(측정기록!$E$5:$E$34,"O",측정기록!$Q$5:$Q$34,"&lt;&gt;"))</f>
        <v>0.25</v>
      </c>
    </row>
    <row r="50" customFormat="false" ht="15" hidden="false" customHeight="false" outlineLevel="0" collapsed="false">
      <c r="A50" s="82" t="s">
        <v>253</v>
      </c>
      <c r="B50" s="80" t="n">
        <f aca="false">COUNTIFS(측정기록!$E$5:$E$34,"O",측정기록!$Q$5:$Q$34,$A50)</f>
        <v>2</v>
      </c>
      <c r="C50" s="81" t="n">
        <f aca="false">IF(COUNTIFS(측정기록!$E$5:$E$34,"O",측정기록!$Q$5:$Q$34,"&lt;&gt;")=0,"",B50/COUNTIFS(측정기록!$E$5:$E$34,"O",측정기록!$Q$5:$Q$34,"&lt;&gt;"))</f>
        <v>0.0833333333333333</v>
      </c>
    </row>
    <row r="51" customFormat="false" ht="15" hidden="false" customHeight="false" outlineLevel="0" collapsed="false">
      <c r="A51" s="82" t="s">
        <v>280</v>
      </c>
      <c r="B51" s="80" t="n">
        <f aca="false">COUNTIFS(측정기록!$E$5:$E$34,"O",측정기록!$Q$5:$Q$34,$A51)</f>
        <v>1</v>
      </c>
      <c r="C51" s="81" t="n">
        <f aca="false">IF(COUNTIFS(측정기록!$E$5:$E$34,"O",측정기록!$Q$5:$Q$34,"&lt;&gt;")=0,"",B51/COUNTIFS(측정기록!$E$5:$E$34,"O",측정기록!$Q$5:$Q$34,"&lt;&gt;"))</f>
        <v>0.0416666666666667</v>
      </c>
    </row>
    <row r="52" customFormat="false" ht="15" hidden="false" customHeight="false" outlineLevel="0" collapsed="false">
      <c r="A52" s="82" t="s">
        <v>463</v>
      </c>
      <c r="B52" s="80" t="n">
        <f aca="false">COUNTIFS(측정기록!$E$5:$E$34,"O",측정기록!$Q$5:$Q$34,$A52)</f>
        <v>0</v>
      </c>
      <c r="C52" s="81" t="n">
        <f aca="false">IF(COUNTIFS(측정기록!$E$5:$E$34,"O",측정기록!$Q$5:$Q$34,"&lt;&gt;")=0,"",B52/COUNTIFS(측정기록!$E$5:$E$34,"O",측정기록!$Q$5:$Q$34,"&lt;&gt;"))</f>
        <v>0</v>
      </c>
    </row>
    <row r="53" customFormat="false" ht="15" hidden="false" customHeight="false" outlineLevel="0" collapsed="false">
      <c r="A53" s="83" t="s">
        <v>464</v>
      </c>
      <c r="B53" s="84" t="n">
        <f aca="false">COUNTIFS(측정기록!$E$5:$E$34,"O",측정기록!$Q$5:$Q$34,"&lt;&gt;")</f>
        <v>24</v>
      </c>
      <c r="C53" s="61" t="s">
        <v>465</v>
      </c>
    </row>
  </sheetData>
  <mergeCells count="3">
    <mergeCell ref="B30:C30"/>
    <mergeCell ref="B39:C39"/>
    <mergeCell ref="B41:C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2026-08-14T02:34:33Z</dcterms:created>
  <dc:creator>openpyxl</dc:creator>
  <dc:description/>
  <dc:language>en-US</dc:language>
  <cp:lastModifiedBy>admin</cp:lastModifiedBy>
  <dcterms:modified xsi:type="dcterms:W3CDTF">2026-08-14T08:49:00Z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